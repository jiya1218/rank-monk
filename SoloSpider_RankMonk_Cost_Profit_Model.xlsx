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P&amp;L" sheetId="1" state="visible" r:id="rId1"/>
    <sheet xmlns:r="http://schemas.openxmlformats.org/officeDocument/2006/relationships" name="Feature Cost Matrix (COGS)" sheetId="2" state="visible" r:id="rId2"/>
    <sheet xmlns:r="http://schemas.openxmlformats.org/officeDocument/2006/relationships" name="Unit Economics &amp; Tiers" sheetId="3" state="visible" r:id="rId3"/>
    <sheet xmlns:r="http://schemas.openxmlformats.org/officeDocument/2006/relationships" name="Fixed OpEx" sheetId="4" state="visible" r:id="rId4"/>
    <sheet xmlns:r="http://schemas.openxmlformats.org/officeDocument/2006/relationships" name="12-Month Pro-For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$#,##0.00"/>
    <numFmt numFmtId="167" formatCode="$#,##0.0000"/>
    <numFmt numFmtId="168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CBD5E1"/>
      <sz val="10"/>
    </font>
    <font>
      <name val="Segoe UI"/>
      <b val="1"/>
      <color rgb="00475569"/>
      <sz val="9"/>
    </font>
    <font>
      <name val="Segoe UI"/>
      <b val="1"/>
      <color rgb="000F172A"/>
      <sz val="16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i val="1"/>
      <color rgb="0064748B"/>
      <sz val="9"/>
    </font>
    <font>
      <name val="Segoe UI"/>
      <b val="1"/>
      <color rgb="000F172A"/>
      <sz val="10"/>
    </font>
    <font>
      <name val="Segoe UI"/>
      <b val="1"/>
      <color rgb="00047857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  <fill>
      <patternFill patternType="solid">
        <fgColor rgb="00312E81"/>
        <bgColor rgb="00312E81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166" fontId="9" fillId="3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166" fontId="9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6" fontId="10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165" fontId="10" fillId="6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7" fontId="7" fillId="3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167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167" fontId="9" fillId="3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  <xf numFmtId="166" fontId="10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165" fontId="9" fillId="3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9" fillId="7" borderId="3" applyAlignment="1" pivotButton="0" quotePrefix="0" xfId="0">
      <alignment horizontal="left" vertical="center"/>
    </xf>
    <xf numFmtId="0" fontId="0" fillId="0" borderId="3" pivotButton="0" quotePrefix="0" xfId="0"/>
    <xf numFmtId="166" fontId="9" fillId="7" borderId="3" applyAlignment="1" pivotButton="0" quotePrefix="0" xfId="0">
      <alignment horizontal="right" vertical="center"/>
    </xf>
    <xf numFmtId="166" fontId="10" fillId="7" borderId="3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165" fontId="9" fillId="7" borderId="3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9" fillId="5" borderId="1" pivotButton="0" quotePrefix="0" xfId="0"/>
    <xf numFmtId="0" fontId="8" fillId="5" borderId="1" pivotButton="0" quotePrefix="0" xfId="0"/>
    <xf numFmtId="0" fontId="9" fillId="3" borderId="1" pivotButton="0" quotePrefix="0" xfId="0"/>
    <xf numFmtId="0" fontId="8" fillId="3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68" fontId="9" fillId="7" borderId="3" applyAlignment="1" pivotButton="0" quotePrefix="0" xfId="0">
      <alignment horizontal="right" vertical="center"/>
    </xf>
    <xf numFmtId="0" fontId="9" fillId="7" borderId="3" pivotButton="0" quotePrefix="0" xfId="0"/>
    <xf numFmtId="3" fontId="9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40" customWidth="1" min="7" max="7"/>
  </cols>
  <sheetData>
    <row r="1" ht="36" customHeight="1">
      <c r="A1" s="1" t="inlineStr">
        <is>
          <t>SOLOSPIDER &amp; RANK MONK — FINANCIAL MODEL &amp; P&amp;L PROJECTION</t>
        </is>
      </c>
    </row>
    <row r="2" ht="20" customHeight="1">
      <c r="A2" s="2" t="inlineStr">
        <is>
          <t>SaaS Economics, Unit Margin Breakdown, Feature COGS (Media Studio AI &amp; SEO), and Pro-Forma Cash Flow</t>
        </is>
      </c>
    </row>
    <row r="4" ht="18" customHeight="1">
      <c r="A4" s="3" t="inlineStr">
        <is>
          <t>TARGET MRR (M12)</t>
        </is>
      </c>
      <c r="B4" s="4" t="n"/>
      <c r="C4" s="3" t="inlineStr">
        <is>
          <t>GROSS MARGIN %</t>
        </is>
      </c>
      <c r="D4" s="3" t="inlineStr">
        <is>
          <t>BLENDED ARPU</t>
        </is>
      </c>
      <c r="E4" s="3" t="inlineStr">
        <is>
          <t>NET PROFIT MARGIN</t>
        </is>
      </c>
      <c r="F4" s="3" t="inlineStr">
        <is>
          <t>ANNUAL RUN-RATE (ARR)</t>
        </is>
      </c>
      <c r="G4" s="3" t="inlineStr">
        <is>
          <t>BREAK-EVEN USERS</t>
        </is>
      </c>
    </row>
    <row r="5" ht="30" customHeight="1">
      <c r="A5" s="5">
        <f>'12-Month Pro-Forma'!E15</f>
        <v/>
      </c>
      <c r="B5" s="4" t="n"/>
      <c r="C5" s="6">
        <f>'12-Month Pro-Forma'!G15</f>
        <v/>
      </c>
      <c r="D5" s="5">
        <f>'Unit Economics &amp; Tiers'!G12</f>
        <v/>
      </c>
      <c r="E5" s="6">
        <f>'12-Month Pro-Forma'!K15</f>
        <v/>
      </c>
      <c r="F5" s="5">
        <f>'12-Month Pro-Forma'!E15*12</f>
        <v/>
      </c>
      <c r="G5" s="7">
        <f>ROUNDUP('Fixed OpEx'!D17/'Unit Economics &amp; Tiers'!F12, 0)</f>
        <v/>
      </c>
    </row>
    <row r="8">
      <c r="A8" s="8" t="inlineStr">
        <is>
          <t>CONSOLIDATED EXECUTIVE P&amp;L STATEMENT (STEADY-STATE SCALE)</t>
        </is>
      </c>
    </row>
    <row r="9" ht="24" customHeight="1">
      <c r="A9" s="9" t="inlineStr">
        <is>
          <t>Financial Metric / Line Item</t>
        </is>
      </c>
      <c r="B9" s="10" t="inlineStr">
        <is>
          <t>Starter Tier</t>
        </is>
      </c>
      <c r="C9" s="10" t="inlineStr">
        <is>
          <t>Growth Tier</t>
        </is>
      </c>
      <c r="D9" s="10" t="inlineStr">
        <is>
          <t>Scale Tier</t>
        </is>
      </c>
      <c r="E9" s="10" t="inlineStr">
        <is>
          <t>Enterprise / Custom</t>
        </is>
      </c>
      <c r="F9" s="10" t="inlineStr">
        <is>
          <t>Blended Steady-State</t>
        </is>
      </c>
      <c r="G9" s="10" t="inlineStr">
        <is>
          <t>Notes &amp; Method</t>
        </is>
      </c>
    </row>
    <row r="10" ht="20" customHeight="1">
      <c r="A10" s="11" t="inlineStr">
        <is>
          <t>Subscription Price / ARPU</t>
        </is>
      </c>
      <c r="B10" s="12">
        <f>'Unit Economics &amp; Tiers'!C6</f>
        <v/>
      </c>
      <c r="C10" s="12">
        <f>'Unit Economics &amp; Tiers'!C7</f>
        <v/>
      </c>
      <c r="D10" s="12">
        <f>'Unit Economics &amp; Tiers'!C8</f>
        <v/>
      </c>
      <c r="E10" s="12">
        <f>'Unit Economics &amp; Tiers'!C9</f>
        <v/>
      </c>
      <c r="F10" s="12">
        <f>'Unit Economics &amp; Tiers'!G12</f>
        <v/>
      </c>
      <c r="G10" s="13" t="inlineStr">
        <is>
          <t>Direct model formula</t>
        </is>
      </c>
    </row>
    <row r="11" ht="20" customHeight="1">
      <c r="A11" s="14" t="inlineStr">
        <is>
          <t>Monthly Active Subscribers Mix</t>
        </is>
      </c>
      <c r="B11" s="15" t="inlineStr">
        <is>
          <t>20%</t>
        </is>
      </c>
      <c r="C11" s="15" t="inlineStr">
        <is>
          <t>50%</t>
        </is>
      </c>
      <c r="D11" s="15" t="inlineStr">
        <is>
          <t>25%</t>
        </is>
      </c>
      <c r="E11" s="15" t="inlineStr">
        <is>
          <t>5%</t>
        </is>
      </c>
      <c r="F11" s="15" t="inlineStr">
        <is>
          <t>100%</t>
        </is>
      </c>
      <c r="G11" s="16" t="inlineStr">
        <is>
          <t>Direct model formula</t>
        </is>
      </c>
    </row>
    <row r="12" ht="20" customHeight="1">
      <c r="A12" s="17" t="inlineStr">
        <is>
          <t>Monthly Gross Revenue / User</t>
        </is>
      </c>
      <c r="B12" s="18">
        <f>'Unit Economics &amp; Tiers'!C6</f>
        <v/>
      </c>
      <c r="C12" s="18">
        <f>'Unit Economics &amp; Tiers'!C7</f>
        <v/>
      </c>
      <c r="D12" s="18">
        <f>'Unit Economics &amp; Tiers'!C8</f>
        <v/>
      </c>
      <c r="E12" s="18">
        <f>'Unit Economics &amp; Tiers'!C9</f>
        <v/>
      </c>
      <c r="F12" s="18">
        <f>'Unit Economics &amp; Tiers'!G12</f>
        <v/>
      </c>
      <c r="G12" s="13" t="inlineStr">
        <is>
          <t>Direct model formula</t>
        </is>
      </c>
    </row>
    <row r="13" ht="20" customHeight="1">
      <c r="A13" s="14" t="inlineStr">
        <is>
          <t>Variable AI &amp; API COGS / User</t>
        </is>
      </c>
      <c r="B13" s="19">
        <f>'Unit Economics &amp; Tiers'!D6</f>
        <v/>
      </c>
      <c r="C13" s="19">
        <f>'Unit Economics &amp; Tiers'!D7</f>
        <v/>
      </c>
      <c r="D13" s="19">
        <f>'Unit Economics &amp; Tiers'!D8</f>
        <v/>
      </c>
      <c r="E13" s="19">
        <f>'Unit Economics &amp; Tiers'!D9</f>
        <v/>
      </c>
      <c r="F13" s="19">
        <f>'Unit Economics &amp; Tiers'!D12</f>
        <v/>
      </c>
      <c r="G13" s="16" t="inlineStr">
        <is>
          <t>Direct model formula</t>
        </is>
      </c>
    </row>
    <row r="14" ht="20" customHeight="1">
      <c r="A14" s="11" t="inlineStr">
        <is>
          <t>Payment Gateway Fees (2% + $0.30)</t>
        </is>
      </c>
      <c r="B14" s="12">
        <f>B12*0.02+0.3</f>
        <v/>
      </c>
      <c r="C14" s="12">
        <f>C12*0.02+0.3</f>
        <v/>
      </c>
      <c r="D14" s="12">
        <f>D12*0.02+0.3</f>
        <v/>
      </c>
      <c r="E14" s="12">
        <f>E12*0.02+0.3</f>
        <v/>
      </c>
      <c r="F14" s="12">
        <f>F12*0.02+0.3</f>
        <v/>
      </c>
      <c r="G14" s="13" t="inlineStr">
        <is>
          <t>Direct model formula</t>
        </is>
      </c>
    </row>
    <row r="15" ht="20" customHeight="1">
      <c r="A15" s="20" t="inlineStr">
        <is>
          <t>Total Direct Cost per User</t>
        </is>
      </c>
      <c r="B15" s="21">
        <f>B13+B14</f>
        <v/>
      </c>
      <c r="C15" s="21">
        <f>C13+C14</f>
        <v/>
      </c>
      <c r="D15" s="21">
        <f>D13+D14</f>
        <v/>
      </c>
      <c r="E15" s="21">
        <f>E13+E14</f>
        <v/>
      </c>
      <c r="F15" s="21">
        <f>F13+F14</f>
        <v/>
      </c>
      <c r="G15" s="16" t="inlineStr">
        <is>
          <t>Direct model formula</t>
        </is>
      </c>
    </row>
    <row r="16" ht="20" customHeight="1">
      <c r="A16" s="22" t="inlineStr">
        <is>
          <t>Gross Margin Contribution ($)</t>
        </is>
      </c>
      <c r="B16" s="23">
        <f>B12-B15</f>
        <v/>
      </c>
      <c r="C16" s="23">
        <f>C12-C15</f>
        <v/>
      </c>
      <c r="D16" s="23">
        <f>D12-D15</f>
        <v/>
      </c>
      <c r="E16" s="23">
        <f>E12-E15</f>
        <v/>
      </c>
      <c r="F16" s="23">
        <f>F12-F15</f>
        <v/>
      </c>
      <c r="G16" s="24" t="inlineStr">
        <is>
          <t>Direct model formula</t>
        </is>
      </c>
    </row>
    <row r="17" ht="20" customHeight="1">
      <c r="A17" s="22" t="inlineStr">
        <is>
          <t>Gross Margin Contribution (%)</t>
        </is>
      </c>
      <c r="B17" s="25">
        <f>B16/IF(B12=0,1,B12)</f>
        <v/>
      </c>
      <c r="C17" s="25">
        <f>C16/C12</f>
        <v/>
      </c>
      <c r="D17" s="25">
        <f>D16/D12</f>
        <v/>
      </c>
      <c r="E17" s="25">
        <f>E16/E12</f>
        <v/>
      </c>
      <c r="F17" s="25">
        <f>F16/F12</f>
        <v/>
      </c>
      <c r="G17" s="24" t="inlineStr">
        <is>
          <t>Direct model formula</t>
        </is>
      </c>
    </row>
    <row r="18" ht="20" customHeight="1">
      <c r="A18" s="13" t="inlineStr">
        <is>
          <t>Allocated Fixed OpEx / User (at 300 users)</t>
        </is>
      </c>
      <c r="B18" s="26">
        <f>'Fixed OpEx'!D17/300</f>
        <v/>
      </c>
      <c r="C18" s="26">
        <f>'Fixed OpEx'!D17/300</f>
        <v/>
      </c>
      <c r="D18" s="26">
        <f>'Fixed OpEx'!D17/300</f>
        <v/>
      </c>
      <c r="E18" s="26">
        <f>'Fixed OpEx'!D17/300</f>
        <v/>
      </c>
      <c r="F18" s="26">
        <f>'Fixed OpEx'!D17/300</f>
        <v/>
      </c>
      <c r="G18" s="13" t="inlineStr">
        <is>
          <t>Fixed server + infra base divided across customer cohort</t>
        </is>
      </c>
    </row>
    <row r="19" ht="20" customHeight="1">
      <c r="A19" s="20" t="inlineStr">
        <is>
          <t>Net Operating Profit per User ($)</t>
        </is>
      </c>
      <c r="B19" s="21">
        <f>B16-B18</f>
        <v/>
      </c>
      <c r="C19" s="21">
        <f>C16-C18</f>
        <v/>
      </c>
      <c r="D19" s="21">
        <f>D16-D18</f>
        <v/>
      </c>
      <c r="E19" s="21">
        <f>E16-E18</f>
        <v/>
      </c>
      <c r="F19" s="21">
        <f>F16-F18</f>
        <v/>
      </c>
      <c r="G19" s="16" t="inlineStr">
        <is>
          <t>Direct model formula</t>
        </is>
      </c>
    </row>
    <row r="20" ht="20" customHeight="1">
      <c r="A20" s="27" t="inlineStr">
        <is>
          <t>Net Operating Margin (%)</t>
        </is>
      </c>
      <c r="B20" s="28">
        <f>B19/IF(B12=0,1,B12)</f>
        <v/>
      </c>
      <c r="C20" s="28">
        <f>C19/C12</f>
        <v/>
      </c>
      <c r="D20" s="28">
        <f>D19/D12</f>
        <v/>
      </c>
      <c r="E20" s="28">
        <f>E19/E12</f>
        <v/>
      </c>
      <c r="F20" s="28">
        <f>F19/F12</f>
        <v/>
      </c>
      <c r="G20" s="29" t="inlineStr">
        <is>
          <t>Direct model formula</t>
        </is>
      </c>
    </row>
    <row r="22">
      <c r="A22" s="8" t="inlineStr">
        <is>
          <t>BUSINESS SENSITIVITY &amp; COHORT SCENARIO ANALYSIS</t>
        </is>
      </c>
    </row>
    <row r="23" ht="22" customHeight="1">
      <c r="A23" s="9" t="inlineStr">
        <is>
          <t>Scenario Name</t>
        </is>
      </c>
      <c r="B23" s="10" t="inlineStr">
        <is>
          <t>Active Paid Users</t>
        </is>
      </c>
      <c r="C23" s="10" t="inlineStr">
        <is>
          <t>Blended MRR</t>
        </is>
      </c>
      <c r="D23" s="10" t="inlineStr">
        <is>
          <t>Monthly Variable COGS</t>
        </is>
      </c>
      <c r="E23" s="10" t="inlineStr">
        <is>
          <t>Fixed Monthly OpEx</t>
        </is>
      </c>
      <c r="F23" s="10" t="inlineStr">
        <is>
          <t>Monthly Net EBITDA</t>
        </is>
      </c>
      <c r="G23" s="10" t="inlineStr">
        <is>
          <t>Annual Net Profit</t>
        </is>
      </c>
    </row>
    <row r="24" ht="20" customHeight="1">
      <c r="A24" s="17" t="inlineStr">
        <is>
          <t>Conservative (Early Traction)</t>
        </is>
      </c>
      <c r="B24" s="30" t="n">
        <v>50</v>
      </c>
      <c r="C24" s="31">
        <f>B24*'Unit Economics &amp; Tiers'!G12</f>
        <v/>
      </c>
      <c r="D24" s="32">
        <f>B24*'Unit Economics &amp; Tiers'!D12</f>
        <v/>
      </c>
      <c r="E24" s="32">
        <f>'Fixed OpEx'!D17</f>
        <v/>
      </c>
      <c r="F24" s="33">
        <f>C24-D24-E24</f>
        <v/>
      </c>
      <c r="G24" s="31">
        <f>F24*12</f>
        <v/>
      </c>
    </row>
    <row r="25" ht="20" customHeight="1">
      <c r="A25" s="20" t="inlineStr">
        <is>
          <t>Target Baseline (Scale Spider)</t>
        </is>
      </c>
      <c r="B25" s="34" t="n">
        <v>250</v>
      </c>
      <c r="C25" s="35">
        <f>B25*'Unit Economics &amp; Tiers'!G12</f>
        <v/>
      </c>
      <c r="D25" s="36">
        <f>B25*'Unit Economics &amp; Tiers'!D12</f>
        <v/>
      </c>
      <c r="E25" s="36">
        <f>'Fixed OpEx'!D17</f>
        <v/>
      </c>
      <c r="F25" s="37">
        <f>C25-D25-E25</f>
        <v/>
      </c>
      <c r="G25" s="35">
        <f>F25*12</f>
        <v/>
      </c>
    </row>
    <row r="26" ht="20" customHeight="1">
      <c r="A26" s="17" t="inlineStr">
        <is>
          <t>Aggressive Growth (500 Subscribers)</t>
        </is>
      </c>
      <c r="B26" s="30" t="n">
        <v>500</v>
      </c>
      <c r="C26" s="31">
        <f>B26*'Unit Economics &amp; Tiers'!G12</f>
        <v/>
      </c>
      <c r="D26" s="32">
        <f>B26*'Unit Economics &amp; Tiers'!D12</f>
        <v/>
      </c>
      <c r="E26" s="32">
        <f>'Fixed OpEx'!D17*1.2</f>
        <v/>
      </c>
      <c r="F26" s="33">
        <f>C26-D26-E26</f>
        <v/>
      </c>
      <c r="G26" s="31">
        <f>F26*12</f>
        <v/>
      </c>
    </row>
    <row r="27" ht="20" customHeight="1">
      <c r="A27" s="38" t="inlineStr">
        <is>
          <t>Enterprise / Market Leader (1,000 Subs)</t>
        </is>
      </c>
      <c r="B27" s="39" t="n">
        <v>1000</v>
      </c>
      <c r="C27" s="40">
        <f>B27*'Unit Economics &amp; Tiers'!G12</f>
        <v/>
      </c>
      <c r="D27" s="41">
        <f>B27*'Unit Economics &amp; Tiers'!D12</f>
        <v/>
      </c>
      <c r="E27" s="41">
        <f>'Fixed OpEx'!D17*1.5</f>
        <v/>
      </c>
      <c r="F27" s="42">
        <f>C27-D27-E27</f>
        <v/>
      </c>
      <c r="G27" s="40">
        <f>F27*12</f>
        <v/>
      </c>
    </row>
  </sheetData>
  <mergeCells count="4">
    <mergeCell ref="A4:B4"/>
    <mergeCell ref="A2:G2"/>
    <mergeCell ref="A1:G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28" customWidth="1" min="3" max="3"/>
    <col width="16" customWidth="1" min="4" max="4"/>
    <col width="16" customWidth="1" min="5" max="5"/>
    <col width="26" customWidth="1" min="6" max="6"/>
    <col width="65" customWidth="1" min="7" max="7"/>
  </cols>
  <sheetData>
    <row r="1" ht="36" customHeight="1">
      <c r="A1" s="1" t="inlineStr">
        <is>
          <t>GRANULAR FEATURE COST BREAKDOWN &amp; API COGS (SOLOSPIDER / RANK MONK)</t>
        </is>
      </c>
    </row>
    <row r="2" ht="20" customHeight="1">
      <c r="A2" s="2" t="inlineStr">
        <is>
          <t>Complete unit costs per image generation, video generation, AI writing, AEO audits, and crawlers</t>
        </is>
      </c>
    </row>
    <row r="4" ht="24" customHeight="1">
      <c r="A4" s="9" t="inlineStr">
        <is>
          <t>Module &amp; Feature Component</t>
        </is>
      </c>
      <c r="B4" s="9" t="inlineStr">
        <is>
          <t>Provider / Engine Used</t>
        </is>
      </c>
      <c r="C4" s="9" t="inlineStr">
        <is>
          <t>Input / Specs / Resolution</t>
        </is>
      </c>
      <c r="D4" s="10" t="inlineStr">
        <is>
          <t>Unit Cost ($)</t>
        </is>
      </c>
      <c r="E4" s="10" t="inlineStr">
        <is>
          <t>Unit Cost (INR ₹)</t>
        </is>
      </c>
      <c r="F4" s="10" t="inlineStr">
        <is>
          <t>Billing Metric</t>
        </is>
      </c>
      <c r="G4" s="9" t="inlineStr">
        <is>
          <t>Technical Architecture &amp; Fallback Strategy</t>
        </is>
      </c>
    </row>
    <row r="5" ht="22" customHeight="1">
      <c r="A5" s="43" t="inlineStr">
        <is>
          <t>MEDIA STUDIO — AI IMAGE GENERATION (CORE REQUIREMENT)</t>
        </is>
      </c>
      <c r="B5" s="4" t="n"/>
      <c r="C5" s="4" t="n"/>
      <c r="D5" s="4" t="n"/>
      <c r="E5" s="4" t="n"/>
      <c r="F5" s="4" t="n"/>
      <c r="G5" s="4" t="n"/>
    </row>
    <row r="6" ht="20" customHeight="1">
      <c r="A6" s="17" t="inlineStr">
        <is>
          <t>High-Quality Social Graphic</t>
        </is>
      </c>
      <c r="B6" s="11" t="inlineStr">
        <is>
          <t>Flux 2 Pro (OpenRouter)</t>
        </is>
      </c>
      <c r="C6" s="13" t="inlineStr">
        <is>
          <t>1024x1024 PNG / JPG</t>
        </is>
      </c>
      <c r="D6" s="44" t="n">
        <v>0.04</v>
      </c>
      <c r="E6" s="45">
        <f>D6*88</f>
        <v/>
      </c>
      <c r="F6" s="46" t="inlineStr">
        <is>
          <t>Per generated image</t>
        </is>
      </c>
      <c r="G6" s="47" t="inlineStr">
        <is>
          <t>black-forest-labs/flux.2-pro via OpenRouter; Supabase upload</t>
        </is>
      </c>
    </row>
    <row r="7" ht="20" customHeight="1">
      <c r="A7" s="20" t="inlineStr">
        <is>
          <t>Alternative / Fast Image Gen</t>
        </is>
      </c>
      <c r="B7" s="14" t="inlineStr">
        <is>
          <t>Stable Diffusion 3.5 / SDXL</t>
        </is>
      </c>
      <c r="C7" s="16" t="inlineStr">
        <is>
          <t>1024x1024 / 1200x628</t>
        </is>
      </c>
      <c r="D7" s="48" t="n">
        <v>0.02</v>
      </c>
      <c r="E7" s="49">
        <f>D7*88</f>
        <v/>
      </c>
      <c r="F7" s="50" t="inlineStr">
        <is>
          <t>Per generated image</t>
        </is>
      </c>
      <c r="G7" s="51" t="inlineStr">
        <is>
          <t>Replicate / Fal.ai high-speed render; 50% cheaper fallback</t>
        </is>
      </c>
    </row>
    <row r="8" ht="20" customHeight="1">
      <c r="A8" s="17" t="inlineStr">
        <is>
          <t>Editorial Photorealistic Hero</t>
        </is>
      </c>
      <c r="B8" s="11" t="inlineStr">
        <is>
          <t>DALL-E 3 HD (OpenAI)</t>
        </is>
      </c>
      <c r="C8" s="13" t="inlineStr">
        <is>
          <t>1792x1024 Banner</t>
        </is>
      </c>
      <c r="D8" s="52" t="n">
        <v>0.08</v>
      </c>
      <c r="E8" s="45">
        <f>D8*88</f>
        <v/>
      </c>
      <c r="F8" s="46" t="inlineStr">
        <is>
          <t>Per high-def banner</t>
        </is>
      </c>
      <c r="G8" s="47" t="inlineStr">
        <is>
          <t>Used for long-form featured blog headers with brand text</t>
        </is>
      </c>
    </row>
    <row r="9" ht="20" customHeight="1">
      <c r="A9" s="20" t="inlineStr">
        <is>
          <t>Free / Batch Preview Graphic</t>
        </is>
      </c>
      <c r="B9" s="14" t="inlineStr">
        <is>
          <t>Pollinations AI</t>
        </is>
      </c>
      <c r="C9" s="16" t="inlineStr">
        <is>
          <t>1080x1080 WebP</t>
        </is>
      </c>
      <c r="D9" s="48" t="n">
        <v>0</v>
      </c>
      <c r="E9" s="49">
        <f>D9*88</f>
        <v/>
      </c>
      <c r="F9" s="50" t="inlineStr">
        <is>
          <t>Per preview render</t>
        </is>
      </c>
      <c r="G9" s="51" t="inlineStr">
        <is>
          <t>Zero-cost real-time canvas preview before user finalizes render</t>
        </is>
      </c>
    </row>
    <row r="10" ht="20" customHeight="1">
      <c r="A10" s="17" t="inlineStr">
        <is>
          <t>Image Storage &amp; CDN Bandwidth</t>
        </is>
      </c>
      <c r="B10" s="11" t="inlineStr">
        <is>
          <t>Supabase Storage / Cloudflare R2</t>
        </is>
      </c>
      <c r="C10" s="13" t="inlineStr">
        <is>
          <t>3 MB average per PNG</t>
        </is>
      </c>
      <c r="D10" s="44" t="n">
        <v>0.001</v>
      </c>
      <c r="E10" s="45">
        <f>D10*88</f>
        <v/>
      </c>
      <c r="F10" s="46" t="inlineStr">
        <is>
          <t>Per image stored / served</t>
        </is>
      </c>
      <c r="G10" s="47" t="inlineStr">
        <is>
          <t>Cloudflare R2 zero-egress bucket, Supabase blog_images storage</t>
        </is>
      </c>
    </row>
    <row r="11" ht="22" customHeight="1">
      <c r="A11" s="43" t="inlineStr">
        <is>
          <t>MEDIA STUDIO — AI VIDEO GENERATION (CORE REQUIREMENT)</t>
        </is>
      </c>
      <c r="B11" s="4" t="n"/>
      <c r="C11" s="4" t="n"/>
      <c r="D11" s="4" t="n"/>
      <c r="E11" s="4" t="n"/>
      <c r="F11" s="4" t="n"/>
      <c r="G11" s="4" t="n"/>
    </row>
    <row r="12" ht="20" customHeight="1">
      <c r="A12" s="17" t="inlineStr">
        <is>
          <t>AI Motion Reel / Short Video</t>
        </is>
      </c>
      <c r="B12" s="11" t="inlineStr">
        <is>
          <t>Alibaba Wan 2.6 (OpenRouter)</t>
        </is>
      </c>
      <c r="C12" s="13" t="inlineStr">
        <is>
          <t>5 Seconds, 1080p, 16:9 / 9:16</t>
        </is>
      </c>
      <c r="D12" s="52" t="n">
        <v>0.18</v>
      </c>
      <c r="E12" s="45">
        <f>D12*88</f>
        <v/>
      </c>
      <c r="F12" s="46" t="inlineStr">
        <is>
          <t>Per 5-second video</t>
        </is>
      </c>
      <c r="G12" s="47" t="inlineStr">
        <is>
          <t>Native OpenRouter alibaba/wan-2.6; auto-saved to Supabase MP4</t>
        </is>
      </c>
    </row>
    <row r="13" ht="20" customHeight="1">
      <c r="A13" s="20" t="inlineStr">
        <is>
          <t>High-Fidelity Cinematic Clip</t>
        </is>
      </c>
      <c r="B13" s="14" t="inlineStr">
        <is>
          <t>Runway Gen-3 Alpha / Luma</t>
        </is>
      </c>
      <c r="C13" s="16" t="inlineStr">
        <is>
          <t>5 Seconds, 720p/1080p</t>
        </is>
      </c>
      <c r="D13" s="53" t="n">
        <v>0.35</v>
      </c>
      <c r="E13" s="49">
        <f>D13*88</f>
        <v/>
      </c>
      <c r="F13" s="50" t="inlineStr">
        <is>
          <t>Per generation</t>
        </is>
      </c>
      <c r="G13" s="51" t="inlineStr">
        <is>
          <t>Premium motion synthesis via Replicate / Fal.ai endpoint</t>
        </is>
      </c>
    </row>
    <row r="14" ht="20" customHeight="1">
      <c r="A14" s="17" t="inlineStr">
        <is>
          <t>Short Promo B-Roll Video</t>
        </is>
      </c>
      <c r="B14" s="11" t="inlineStr">
        <is>
          <t>Kling AI / Minimax Hailuo</t>
        </is>
      </c>
      <c r="C14" s="13" t="inlineStr">
        <is>
          <t>5-6 Seconds, 1080p</t>
        </is>
      </c>
      <c r="D14" s="52" t="n">
        <v>0.22</v>
      </c>
      <c r="E14" s="45">
        <f>D14*88</f>
        <v/>
      </c>
      <c r="F14" s="46" t="inlineStr">
        <is>
          <t>Per clip</t>
        </is>
      </c>
      <c r="G14" s="47" t="inlineStr">
        <is>
          <t>Used for social Instagram Reels, TikTok, and YouTube Shorts</t>
        </is>
      </c>
    </row>
    <row r="15" ht="20" customHeight="1">
      <c r="A15" s="20" t="inlineStr">
        <is>
          <t>Public B2B Fallback Video</t>
        </is>
      </c>
      <c r="B15" s="14" t="inlineStr">
        <is>
          <t>GitHub Raw / Video Templates</t>
        </is>
      </c>
      <c r="C15" s="16" t="inlineStr">
        <is>
          <t>Pre-rendered HD Loops</t>
        </is>
      </c>
      <c r="D15" s="48" t="n">
        <v>0</v>
      </c>
      <c r="E15" s="49">
        <f>D15*88</f>
        <v/>
      </c>
      <c r="F15" s="50" t="inlineStr">
        <is>
          <t>Per fallback clip</t>
        </is>
      </c>
      <c r="G15" s="51" t="inlineStr">
        <is>
          <t>Immediate zero-cost preview if external video API is rate-limited</t>
        </is>
      </c>
    </row>
    <row r="16" ht="20" customHeight="1">
      <c r="A16" s="17" t="inlineStr">
        <is>
          <t>Video CDN Hosting &amp; Transcoding</t>
        </is>
      </c>
      <c r="B16" s="11" t="inlineStr">
        <is>
          <t>Cloudflare Stream / R2</t>
        </is>
      </c>
      <c r="C16" s="13" t="inlineStr">
        <is>
          <t>15 MB average MP4</t>
        </is>
      </c>
      <c r="D16" s="44" t="n">
        <v>0.005</v>
      </c>
      <c r="E16" s="45">
        <f>D16*88</f>
        <v/>
      </c>
      <c r="F16" s="46" t="inlineStr">
        <is>
          <t>Per video streamed</t>
        </is>
      </c>
      <c r="G16" s="47" t="inlineStr">
        <is>
          <t>Adaptive bitrate streaming and persistent media storage</t>
        </is>
      </c>
    </row>
    <row r="17" ht="22" customHeight="1">
      <c r="A17" s="43" t="inlineStr">
        <is>
          <t>CONTENT ENGINE — AI BLOG &amp; LONG-FORM ARTICLES</t>
        </is>
      </c>
      <c r="B17" s="4" t="n"/>
      <c r="C17" s="4" t="n"/>
      <c r="D17" s="4" t="n"/>
      <c r="E17" s="4" t="n"/>
      <c r="F17" s="4" t="n"/>
      <c r="G17" s="4" t="n"/>
    </row>
    <row r="18" ht="20" customHeight="1">
      <c r="A18" s="17" t="inlineStr">
        <is>
          <t>Full Long-Form Blog Article</t>
        </is>
      </c>
      <c r="B18" s="11" t="inlineStr">
        <is>
          <t>Gemini 2.5 Flash (OpenRouter)</t>
        </is>
      </c>
      <c r="C18" s="13" t="inlineStr">
        <is>
          <t>2,500 words, Schema, FAQs</t>
        </is>
      </c>
      <c r="D18" s="44" t="n">
        <v>0.004</v>
      </c>
      <c r="E18" s="45">
        <f>D18*88</f>
        <v/>
      </c>
      <c r="F18" s="46" t="inlineStr">
        <is>
          <t>Per complete article</t>
        </is>
      </c>
      <c r="G18" s="47" t="inlineStr">
        <is>
          <t>Primary low-latency generator; high EEAT structured markup</t>
        </is>
      </c>
    </row>
    <row r="19" ht="20" customHeight="1">
      <c r="A19" s="20" t="inlineStr">
        <is>
          <t>Deep Research / Premium Article</t>
        </is>
      </c>
      <c r="B19" s="14" t="inlineStr">
        <is>
          <t>Claude 3.5 Sonnet / GPT-4o</t>
        </is>
      </c>
      <c r="C19" s="16" t="inlineStr">
        <is>
          <t>3,500 words with citations</t>
        </is>
      </c>
      <c r="D19" s="48" t="n">
        <v>0.038</v>
      </c>
      <c r="E19" s="49">
        <f>D19*88</f>
        <v/>
      </c>
      <c r="F19" s="50" t="inlineStr">
        <is>
          <t>Per premium article</t>
        </is>
      </c>
      <c r="G19" s="51" t="inlineStr">
        <is>
          <t>Used for competitive ranking content and thought leadership</t>
        </is>
      </c>
    </row>
    <row r="20" ht="20" customHeight="1">
      <c r="A20" s="17" t="inlineStr">
        <is>
          <t>Meta Title &amp; Description Batch</t>
        </is>
      </c>
      <c r="B20" s="11" t="inlineStr">
        <is>
          <t>OpenRouter Gemini Flash</t>
        </is>
      </c>
      <c r="C20" s="13" t="inlineStr">
        <is>
          <t>10 Variations per post</t>
        </is>
      </c>
      <c r="D20" s="44" t="n">
        <v>0.0005</v>
      </c>
      <c r="E20" s="45">
        <f>D20*88</f>
        <v/>
      </c>
      <c r="F20" s="46" t="inlineStr">
        <is>
          <t>Per batch generate</t>
        </is>
      </c>
      <c r="G20" s="47" t="inlineStr">
        <is>
          <t>Auto-optimized for Google CTR and character truncation rules</t>
        </is>
      </c>
    </row>
    <row r="21" ht="20" customHeight="1">
      <c r="A21" s="20" t="inlineStr">
        <is>
          <t>Schema JSON-LD &amp; FAQ Builder</t>
        </is>
      </c>
      <c r="B21" s="14" t="inlineStr">
        <is>
          <t>OpenRouter Gemini Flash</t>
        </is>
      </c>
      <c r="C21" s="16" t="inlineStr">
        <is>
          <t>Article + FAQPage + Breadcrumb</t>
        </is>
      </c>
      <c r="D21" s="48" t="n">
        <v>0.0008</v>
      </c>
      <c r="E21" s="49">
        <f>D21*88</f>
        <v/>
      </c>
      <c r="F21" s="50" t="inlineStr">
        <is>
          <t>Per schema bundle</t>
        </is>
      </c>
      <c r="G21" s="51" t="inlineStr">
        <is>
          <t>Self-validating schema structure injected into Next.js/WP</t>
        </is>
      </c>
    </row>
    <row r="22" ht="22" customHeight="1">
      <c r="A22" s="43" t="inlineStr">
        <is>
          <t>AEO / GEO CITATION RADAR (AI ENGINE PROMPT MONITORING)</t>
        </is>
      </c>
      <c r="B22" s="4" t="n"/>
      <c r="C22" s="4" t="n"/>
      <c r="D22" s="4" t="n"/>
      <c r="E22" s="4" t="n"/>
      <c r="F22" s="4" t="n"/>
      <c r="G22" s="4" t="n"/>
    </row>
    <row r="23" ht="20" customHeight="1">
      <c r="A23" s="20" t="inlineStr">
        <is>
          <t>Perplexity Sonar Prompt Audit</t>
        </is>
      </c>
      <c r="B23" s="14" t="inlineStr">
        <is>
          <t>Perplexity Sonar Online</t>
        </is>
      </c>
      <c r="C23" s="16" t="inlineStr">
        <is>
          <t>Live web search query</t>
        </is>
      </c>
      <c r="D23" s="48" t="n">
        <v>0.005</v>
      </c>
      <c r="E23" s="49">
        <f>D23*88</f>
        <v/>
      </c>
      <c r="F23" s="50" t="inlineStr">
        <is>
          <t>Per query audit</t>
        </is>
      </c>
      <c r="G23" s="51" t="inlineStr">
        <is>
          <t>Scans brand citation, recommendation ranking, and source URLs</t>
        </is>
      </c>
    </row>
    <row r="24" ht="20" customHeight="1">
      <c r="A24" s="17" t="inlineStr">
        <is>
          <t>ChatGPT Search Citation Check</t>
        </is>
      </c>
      <c r="B24" s="11" t="inlineStr">
        <is>
          <t>OpenAI GPT-4o Search</t>
        </is>
      </c>
      <c r="C24" s="13" t="inlineStr">
        <is>
          <t>Search ground truth audit</t>
        </is>
      </c>
      <c r="D24" s="44" t="n">
        <v>0.006</v>
      </c>
      <c r="E24" s="45">
        <f>D24*88</f>
        <v/>
      </c>
      <c r="F24" s="46" t="inlineStr">
        <is>
          <t>Per model audit</t>
        </is>
      </c>
      <c r="G24" s="47" t="inlineStr">
        <is>
          <t>Verifies whether ChatGPT answers recommend the client domain</t>
        </is>
      </c>
    </row>
    <row r="25" ht="20" customHeight="1">
      <c r="A25" s="20" t="inlineStr">
        <is>
          <t>Gemini AI Overview Citation</t>
        </is>
      </c>
      <c r="B25" s="14" t="inlineStr">
        <is>
          <t>Gemini 2.5 Flash w/ Search</t>
        </is>
      </c>
      <c r="C25" s="16" t="inlineStr">
        <is>
          <t>Grounding enabled search</t>
        </is>
      </c>
      <c r="D25" s="48" t="n">
        <v>0.003</v>
      </c>
      <c r="E25" s="49">
        <f>D25*88</f>
        <v/>
      </c>
      <c r="F25" s="50" t="inlineStr">
        <is>
          <t>Per audit check</t>
        </is>
      </c>
      <c r="G25" s="51" t="inlineStr">
        <is>
          <t>Checks Google SGE / AI Overviews inclusion status</t>
        </is>
      </c>
    </row>
    <row r="26" ht="20" customHeight="1">
      <c r="A26" s="17" t="inlineStr">
        <is>
          <t>Comprehensive Multi-Model Scan</t>
        </is>
      </c>
      <c r="B26" s="11" t="inlineStr">
        <is>
          <t>4 Models Combined (Sonar, GPT, Gemini, Claude)</t>
        </is>
      </c>
      <c r="C26" s="13" t="inlineStr">
        <is>
          <t>Full brand prompt report</t>
        </is>
      </c>
      <c r="D26" s="44" t="n">
        <v>0.025</v>
      </c>
      <c r="E26" s="45">
        <f>D26*88</f>
        <v/>
      </c>
      <c r="F26" s="46" t="inlineStr">
        <is>
          <t>Per full radar scan</t>
        </is>
      </c>
      <c r="G26" s="47" t="inlineStr">
        <is>
          <t>Complete audit across all 4 top LLM engines simultaneously</t>
        </is>
      </c>
    </row>
    <row r="27" ht="22" customHeight="1">
      <c r="A27" s="43" t="inlineStr">
        <is>
          <t>TECHNICAL SEO &amp; COMPETITOR VOID SPY</t>
        </is>
      </c>
      <c r="B27" s="4" t="n"/>
      <c r="C27" s="4" t="n"/>
      <c r="D27" s="4" t="n"/>
      <c r="E27" s="4" t="n"/>
      <c r="F27" s="4" t="n"/>
      <c r="G27" s="4" t="n"/>
    </row>
    <row r="28" ht="20" customHeight="1">
      <c r="A28" s="17" t="inlineStr">
        <is>
          <t>Full Site Health Crawl</t>
        </is>
      </c>
      <c r="B28" s="11" t="inlineStr">
        <is>
          <t>Custom Playwright + Apify Proxy</t>
        </is>
      </c>
      <c r="C28" s="13" t="inlineStr">
        <is>
          <t>500-page deep crawl</t>
        </is>
      </c>
      <c r="D28" s="44" t="n">
        <v>0.045</v>
      </c>
      <c r="E28" s="45">
        <f>D28*88</f>
        <v/>
      </c>
      <c r="F28" s="46" t="inlineStr">
        <is>
          <t>Per crawl run</t>
        </is>
      </c>
      <c r="G28" s="47" t="inlineStr">
        <is>
          <t>Detects 404s, redirect chains, canonical errors, orphan pages</t>
        </is>
      </c>
    </row>
    <row r="29" ht="20" customHeight="1">
      <c r="A29" s="20" t="inlineStr">
        <is>
          <t>SERP Rank &amp; Keyword Position</t>
        </is>
      </c>
      <c r="B29" s="14" t="inlineStr">
        <is>
          <t>DataForSEO / SerpApi</t>
        </is>
      </c>
      <c r="C29" s="16" t="inlineStr">
        <is>
          <t>100 Keywords tracking</t>
        </is>
      </c>
      <c r="D29" s="48" t="n">
        <v>0.02</v>
      </c>
      <c r="E29" s="49">
        <f>D29*88</f>
        <v/>
      </c>
      <c r="F29" s="50" t="inlineStr">
        <is>
          <t>Per 100 keywords</t>
        </is>
      </c>
      <c r="G29" s="51" t="inlineStr">
        <is>
          <t>Real-time Google mobile + desktop SERP ranking position</t>
        </is>
      </c>
    </row>
    <row r="30" ht="20" customHeight="1">
      <c r="A30" s="17" t="inlineStr">
        <is>
          <t>Competitor Gap &amp; Void Keyword</t>
        </is>
      </c>
      <c r="B30" s="11" t="inlineStr">
        <is>
          <t>DataForSEO SERP Intelligence</t>
        </is>
      </c>
      <c r="C30" s="13" t="inlineStr">
        <is>
          <t>Domain vs Domain matrix</t>
        </is>
      </c>
      <c r="D30" s="44" t="n">
        <v>0.035</v>
      </c>
      <c r="E30" s="45">
        <f>D30*88</f>
        <v/>
      </c>
      <c r="F30" s="46" t="inlineStr">
        <is>
          <t>Per competitor pull</t>
        </is>
      </c>
      <c r="G30" s="47" t="inlineStr">
        <is>
          <t>Finds keywords competitors rank for that client is missing</t>
        </is>
      </c>
    </row>
    <row r="31" ht="20" customHeight="1">
      <c r="A31" s="20" t="inlineStr">
        <is>
          <t>Backlink Radar &amp; Toxic Checker</t>
        </is>
      </c>
      <c r="B31" s="14" t="inlineStr">
        <is>
          <t>DataForSEO Backlink API</t>
        </is>
      </c>
      <c r="C31" s="16" t="inlineStr">
        <is>
          <t>Backlink profile audit</t>
        </is>
      </c>
      <c r="D31" s="48" t="n">
        <v>0.025</v>
      </c>
      <c r="E31" s="49">
        <f>D31*88</f>
        <v/>
      </c>
      <c r="F31" s="50" t="inlineStr">
        <is>
          <t>Per backlink pull</t>
        </is>
      </c>
      <c r="G31" s="51" t="inlineStr">
        <is>
          <t>Monitors lost backlinks, referring domains, toxic link spam</t>
        </is>
      </c>
    </row>
    <row r="32" ht="22" customHeight="1">
      <c r="A32" s="43" t="inlineStr">
        <is>
          <t>SOCIAL CMS SYNC &amp; PLATFORM DISTRIBUTION</t>
        </is>
      </c>
      <c r="B32" s="4" t="n"/>
      <c r="C32" s="4" t="n"/>
      <c r="D32" s="4" t="n"/>
      <c r="E32" s="4" t="n"/>
      <c r="F32" s="4" t="n"/>
      <c r="G32" s="4" t="n"/>
    </row>
    <row r="33" ht="20" customHeight="1">
      <c r="A33" s="20" t="inlineStr">
        <is>
          <t>Multi-Platform Social Auto-Post</t>
        </is>
      </c>
      <c r="B33" s="14" t="inlineStr">
        <is>
          <t>Official APIs (Meta, LinkedIn, X)</t>
        </is>
      </c>
      <c r="C33" s="16" t="inlineStr">
        <is>
          <t>API Webhook trigger</t>
        </is>
      </c>
      <c r="D33" s="48" t="n">
        <v>0.0001</v>
      </c>
      <c r="E33" s="49">
        <f>D33*88</f>
        <v/>
      </c>
      <c r="F33" s="50" t="inlineStr">
        <is>
          <t>Per scheduled post</t>
        </is>
      </c>
      <c r="G33" s="51" t="inlineStr">
        <is>
          <t>Publishes to Instagram, Facebook, LinkedIn, Twitter, Pinterest</t>
        </is>
      </c>
    </row>
    <row r="34" ht="20" customHeight="1">
      <c r="A34" s="17" t="inlineStr">
        <is>
          <t>Shopify &amp; WordPress Live Sync</t>
        </is>
      </c>
      <c r="B34" s="11" t="inlineStr">
        <is>
          <t>Shopify GraphQL &amp; WP REST API</t>
        </is>
      </c>
      <c r="C34" s="13" t="inlineStr">
        <is>
          <t>Direct webhooks &amp; publishing</t>
        </is>
      </c>
      <c r="D34" s="44" t="n">
        <v>0.0001</v>
      </c>
      <c r="E34" s="45">
        <f>D34*88</f>
        <v/>
      </c>
      <c r="F34" s="46" t="inlineStr">
        <is>
          <t>Per blog sync</t>
        </is>
      </c>
      <c r="G34" s="47" t="inlineStr">
        <is>
          <t>Auto-publishes articles directly to client store/blog with tags</t>
        </is>
      </c>
    </row>
  </sheetData>
  <mergeCells count="8">
    <mergeCell ref="A32:G32"/>
    <mergeCell ref="A1:G1"/>
    <mergeCell ref="A17:G17"/>
    <mergeCell ref="A27:G27"/>
    <mergeCell ref="A22:G22"/>
    <mergeCell ref="A2:G2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2" customWidth="1" min="4" max="4"/>
    <col width="22" customWidth="1" min="5" max="5"/>
    <col width="18" customWidth="1" min="6" max="6"/>
    <col width="38" customWidth="1" min="7" max="7"/>
  </cols>
  <sheetData>
    <row r="1" ht="36" customHeight="1">
      <c r="A1" s="1" t="inlineStr">
        <is>
          <t>SUBSCRIPTION TIERS &amp; UNIT ECONOMICS PER SUBSCRIBER</t>
        </is>
      </c>
    </row>
    <row r="2" ht="20" customHeight="1">
      <c r="A2" s="2" t="inlineStr">
        <is>
          <t>Detailed monthly usage allowances, direct COGS per user, gross margins, and LTV/CAC ratios</t>
        </is>
      </c>
    </row>
    <row r="4" ht="24" customHeight="1">
      <c r="A4" s="9" t="inlineStr">
        <is>
          <t>Plan Tier Name</t>
        </is>
      </c>
      <c r="B4" s="10" t="inlineStr">
        <is>
          <t>Billing Cycle</t>
        </is>
      </c>
      <c r="C4" s="10" t="inlineStr">
        <is>
          <t>Monthly Price ($)</t>
        </is>
      </c>
      <c r="D4" s="10" t="inlineStr">
        <is>
          <t>Estimated Monthly COGS ($)</t>
        </is>
      </c>
      <c r="E4" s="10" t="inlineStr">
        <is>
          <t>Gross Contribution ($)</t>
        </is>
      </c>
      <c r="F4" s="10" t="inlineStr">
        <is>
          <t>Gross Margin (%)</t>
        </is>
      </c>
      <c r="G4" s="10" t="inlineStr">
        <is>
          <t>Target User Share (%)</t>
        </is>
      </c>
    </row>
    <row r="6" ht="20" customHeight="1">
      <c r="A6" s="17" t="inlineStr">
        <is>
          <t>Starter Tier (Trial / Entry)</t>
        </is>
      </c>
      <c r="B6" s="46" t="inlineStr">
        <is>
          <t>Monthly</t>
        </is>
      </c>
      <c r="C6" s="18" t="n">
        <v>0</v>
      </c>
      <c r="D6" s="12">
        <f>D18</f>
        <v/>
      </c>
      <c r="E6" s="54">
        <f>C6-D6</f>
        <v/>
      </c>
      <c r="F6" s="55">
        <f>IF(C6=0, 0, E6/C6)</f>
        <v/>
      </c>
      <c r="G6" s="56" t="n">
        <v>0.2</v>
      </c>
    </row>
    <row r="7" ht="20" customHeight="1">
      <c r="A7" s="20" t="inlineStr">
        <is>
          <t>Growth Tier (Core SMBs)</t>
        </is>
      </c>
      <c r="B7" s="50" t="inlineStr">
        <is>
          <t>Monthly</t>
        </is>
      </c>
      <c r="C7" s="21" t="n">
        <v>199</v>
      </c>
      <c r="D7" s="19">
        <f>D26</f>
        <v/>
      </c>
      <c r="E7" s="57">
        <f>C7-D7</f>
        <v/>
      </c>
      <c r="F7" s="58">
        <f>E7/C7</f>
        <v/>
      </c>
      <c r="G7" s="59" t="n">
        <v>0.5</v>
      </c>
    </row>
    <row r="8" ht="20" customHeight="1">
      <c r="A8" s="17" t="inlineStr">
        <is>
          <t>Scale Tier (Agencies &amp; High Growth)</t>
        </is>
      </c>
      <c r="B8" s="46" t="inlineStr">
        <is>
          <t>Monthly</t>
        </is>
      </c>
      <c r="C8" s="18" t="n">
        <v>699</v>
      </c>
      <c r="D8" s="12">
        <f>D34</f>
        <v/>
      </c>
      <c r="E8" s="54">
        <f>C8-D8</f>
        <v/>
      </c>
      <c r="F8" s="55">
        <f>E8/C8</f>
        <v/>
      </c>
      <c r="G8" s="56" t="n">
        <v>0.25</v>
      </c>
    </row>
    <row r="9" ht="20" customHeight="1">
      <c r="A9" s="20" t="inlineStr">
        <is>
          <t>Custom / Enterprise Brand</t>
        </is>
      </c>
      <c r="B9" s="50" t="inlineStr">
        <is>
          <t>Monthly</t>
        </is>
      </c>
      <c r="C9" s="21" t="n">
        <v>1299</v>
      </c>
      <c r="D9" s="19">
        <f>D42</f>
        <v/>
      </c>
      <c r="E9" s="57">
        <f>C9-D9</f>
        <v/>
      </c>
      <c r="F9" s="58">
        <f>E9/C9</f>
        <v/>
      </c>
      <c r="G9" s="59" t="n">
        <v>0.05</v>
      </c>
    </row>
    <row r="12" ht="22" customHeight="1">
      <c r="A12" s="60" t="inlineStr">
        <is>
          <t>WEIGHTED BLENDED AVERAGE (ACROSS ALL PAID SUBSCRIBERS)</t>
        </is>
      </c>
      <c r="B12" s="61" t="n"/>
      <c r="C12" s="62">
        <f>SUMPRODUCT(C6:C9, G6:G9)</f>
        <v/>
      </c>
      <c r="D12" s="62">
        <f>SUMPRODUCT(D6:D9, G6:G9)</f>
        <v/>
      </c>
      <c r="E12" s="63">
        <f>C12-D12</f>
        <v/>
      </c>
      <c r="F12" s="64">
        <f>E12/C12</f>
        <v/>
      </c>
      <c r="G12" s="65">
        <f>SUM(G6:G9)</f>
        <v/>
      </c>
    </row>
    <row r="14" ht="22" customHeight="1">
      <c r="A14" s="66" t="inlineStr">
        <is>
          <t>1. STARTER PLAN ($0 / FREE TRIAL) — QUOTA &amp; USAGE COST BREAKDOWN</t>
        </is>
      </c>
      <c r="B14" s="4" t="n"/>
      <c r="C14" s="4" t="n"/>
      <c r="D14" s="4" t="n"/>
      <c r="E14" s="4" t="n"/>
      <c r="F14" s="4" t="n"/>
      <c r="G14" s="4" t="n"/>
    </row>
    <row r="15" ht="19" customHeight="1">
      <c r="A15" s="67" t="inlineStr">
        <is>
          <t>AI Blog Posts (5 per month)</t>
        </is>
      </c>
      <c r="B15" s="34" t="n">
        <v>5</v>
      </c>
      <c r="C15" s="48">
        <f>'Feature Cost Matrix (COGS)'!D18</f>
        <v/>
      </c>
      <c r="D15" s="21">
        <f>B15*C15</f>
        <v/>
      </c>
      <c r="E15" s="68" t="inlineStr">
        <is>
          <t>5 Gemini Flash articles with basic schema</t>
        </is>
      </c>
      <c r="F15" s="4" t="n"/>
      <c r="G15" s="4" t="n"/>
    </row>
    <row r="16" ht="19" customHeight="1">
      <c r="A16" s="69" t="inlineStr">
        <is>
          <t>Media Studio - AI Images (0 enabled)</t>
        </is>
      </c>
      <c r="B16" s="30" t="n">
        <v>0</v>
      </c>
      <c r="C16" s="44">
        <f>'Feature Cost Matrix (COGS)'!D6</f>
        <v/>
      </c>
      <c r="D16" s="18">
        <f>B16*C16</f>
        <v/>
      </c>
      <c r="E16" s="70" t="inlineStr">
        <is>
          <t>Media studio disabled on free tier</t>
        </is>
      </c>
      <c r="F16" s="4" t="n"/>
      <c r="G16" s="4" t="n"/>
    </row>
    <row r="17" ht="19" customHeight="1">
      <c r="A17" s="67" t="inlineStr">
        <is>
          <t>Media Studio - AI Videos (0 enabled)</t>
        </is>
      </c>
      <c r="B17" s="34" t="n">
        <v>0</v>
      </c>
      <c r="C17" s="48">
        <f>'Feature Cost Matrix (COGS)'!D12</f>
        <v/>
      </c>
      <c r="D17" s="21">
        <f>B17*C17</f>
        <v/>
      </c>
      <c r="E17" s="68" t="inlineStr">
        <is>
          <t>Video studio disabled on free tier</t>
        </is>
      </c>
      <c r="F17" s="4" t="n"/>
      <c r="G17" s="4" t="n"/>
    </row>
    <row r="18" ht="19" customHeight="1">
      <c r="A18" s="69" t="inlineStr">
        <is>
          <t>AEO Radar Prompt Audits (1 initial)</t>
        </is>
      </c>
      <c r="B18" s="30" t="n">
        <v>1</v>
      </c>
      <c r="C18" s="44">
        <f>'Feature Cost Matrix (COGS)'!D23</f>
        <v/>
      </c>
      <c r="D18" s="18">
        <f>B18*C18</f>
        <v/>
      </c>
      <c r="E18" s="70" t="inlineStr">
        <is>
          <t>One-time initial brand search test</t>
        </is>
      </c>
      <c r="F18" s="4" t="n"/>
      <c r="G18" s="4" t="n"/>
    </row>
    <row r="20" ht="22" customHeight="1">
      <c r="A20" s="66" t="inlineStr">
        <is>
          <t>2. GROWTH PLAN ($199 / MO) — CORE SMB USAGE &amp; COST BREAKDOWN</t>
        </is>
      </c>
      <c r="B20" s="4" t="n"/>
      <c r="C20" s="4" t="n"/>
      <c r="D20" s="4" t="n"/>
      <c r="E20" s="4" t="n"/>
      <c r="F20" s="4" t="n"/>
      <c r="G20" s="4" t="n"/>
    </row>
    <row r="21" ht="19" customHeight="1">
      <c r="A21" s="67" t="inlineStr">
        <is>
          <t>AI Long-Form Blog Articles (40 articles/mo)</t>
        </is>
      </c>
      <c r="B21" s="34" t="n">
        <v>40</v>
      </c>
      <c r="C21" s="48">
        <f>'Feature Cost Matrix (COGS)'!D18</f>
        <v/>
      </c>
      <c r="D21" s="21">
        <f>B21*C21</f>
        <v/>
      </c>
      <c r="E21" s="68" t="inlineStr">
        <is>
          <t>Gemini 2.5 Flash + Schema JSON-LD markup</t>
        </is>
      </c>
      <c r="F21" s="4" t="n"/>
      <c r="G21" s="4" t="n"/>
    </row>
    <row r="22" ht="19" customHeight="1">
      <c r="A22" s="69" t="inlineStr">
        <is>
          <t>Media Studio — AI Images Generated (30 images/mo)</t>
        </is>
      </c>
      <c r="B22" s="30" t="n">
        <v>30</v>
      </c>
      <c r="C22" s="44">
        <f>'Feature Cost Matrix (COGS)'!D6</f>
        <v/>
      </c>
      <c r="D22" s="18">
        <f>B22*C22</f>
        <v/>
      </c>
      <c r="E22" s="70" t="inlineStr">
        <is>
          <t>Flux 2 Pro high-quality social graphics (1024x1024)</t>
        </is>
      </c>
      <c r="F22" s="4" t="n"/>
      <c r="G22" s="4" t="n"/>
    </row>
    <row r="23" ht="19" customHeight="1">
      <c r="A23" s="67" t="inlineStr">
        <is>
          <t>Media Studio — AI Videos Generated (10 videos/mo)</t>
        </is>
      </c>
      <c r="B23" s="34" t="n">
        <v>10</v>
      </c>
      <c r="C23" s="48">
        <f>'Feature Cost Matrix (COGS)'!D12</f>
        <v/>
      </c>
      <c r="D23" s="21">
        <f>B23*C23</f>
        <v/>
      </c>
      <c r="E23" s="68" t="inlineStr">
        <is>
          <t>Wan 2.6 motion clips (5 seconds HD MP4)</t>
        </is>
      </c>
      <c r="F23" s="4" t="n"/>
      <c r="G23" s="4" t="n"/>
    </row>
    <row r="24" ht="19" customHeight="1">
      <c r="A24" s="69" t="inlineStr">
        <is>
          <t>AEO / GEO Radar Audits (20 prompt scans/mo)</t>
        </is>
      </c>
      <c r="B24" s="30" t="n">
        <v>20</v>
      </c>
      <c r="C24" s="44">
        <f>'Feature Cost Matrix (COGS)'!D25</f>
        <v/>
      </c>
      <c r="D24" s="18">
        <f>B24*C24</f>
        <v/>
      </c>
      <c r="E24" s="70" t="inlineStr">
        <is>
          <t>Scans across Perplexity, ChatGPT, Gemini, Claude</t>
        </is>
      </c>
      <c r="F24" s="4" t="n"/>
      <c r="G24" s="4" t="n"/>
    </row>
    <row r="25" ht="19" customHeight="1">
      <c r="A25" s="67" t="inlineStr">
        <is>
          <t>Technical Site Crawls (4 weekly audits)</t>
        </is>
      </c>
      <c r="B25" s="34" t="n">
        <v>4</v>
      </c>
      <c r="C25" s="48">
        <f>'Feature Cost Matrix (COGS)'!D28</f>
        <v/>
      </c>
      <c r="D25" s="21">
        <f>B25*C25</f>
        <v/>
      </c>
      <c r="E25" s="68" t="inlineStr">
        <is>
          <t>Weekly 500-page health scan + error detection</t>
        </is>
      </c>
      <c r="F25" s="4" t="n"/>
      <c r="G25" s="4" t="n"/>
    </row>
    <row r="26" ht="19" customHeight="1">
      <c r="A26" s="69" t="inlineStr">
        <is>
          <t>SERP Keyword Tracking (250 keywords)</t>
        </is>
      </c>
      <c r="B26" s="30" t="n">
        <v>2.5</v>
      </c>
      <c r="C26" s="44">
        <f>'Feature Cost Matrix (COGS)'!D29</f>
        <v/>
      </c>
      <c r="D26" s="18">
        <f>B26*C26</f>
        <v/>
      </c>
      <c r="E26" s="70" t="inlineStr">
        <is>
          <t>DataForSEO tracking (2.5 units of 100 keywords)</t>
        </is>
      </c>
      <c r="F26" s="4" t="n"/>
      <c r="G26" s="4" t="n"/>
    </row>
    <row r="28" ht="22" customHeight="1">
      <c r="A28" s="66" t="inlineStr">
        <is>
          <t>3. SCALE PLAN ($699 / MO) — HIGH GROWTH &amp; AGENCY COST BREAKDOWN</t>
        </is>
      </c>
      <c r="B28" s="4" t="n"/>
      <c r="C28" s="4" t="n"/>
      <c r="D28" s="4" t="n"/>
      <c r="E28" s="4" t="n"/>
      <c r="F28" s="4" t="n"/>
      <c r="G28" s="4" t="n"/>
    </row>
    <row r="29" ht="19" customHeight="1">
      <c r="A29" s="67" t="inlineStr">
        <is>
          <t>AI Long-Form Blog Articles (150 articles/mo)</t>
        </is>
      </c>
      <c r="B29" s="34" t="n">
        <v>150</v>
      </c>
      <c r="C29" s="48">
        <f>'Feature Cost Matrix (COGS)'!D18</f>
        <v/>
      </c>
      <c r="D29" s="21">
        <f>B29*C29</f>
        <v/>
      </c>
      <c r="E29" s="68" t="inlineStr">
        <is>
          <t>Multi-brand content generation across 10 sites</t>
        </is>
      </c>
      <c r="F29" s="4" t="n"/>
      <c r="G29" s="4" t="n"/>
    </row>
    <row r="30" ht="19" customHeight="1">
      <c r="A30" s="69" t="inlineStr">
        <is>
          <t>Media Studio — AI Images Generated (100 images/mo)</t>
        </is>
      </c>
      <c r="B30" s="30" t="n">
        <v>100</v>
      </c>
      <c r="C30" s="44">
        <f>'Feature Cost Matrix (COGS)'!D6</f>
        <v/>
      </c>
      <c r="D30" s="18">
        <f>B30*C30</f>
        <v/>
      </c>
      <c r="E30" s="70" t="inlineStr">
        <is>
          <t>Flux 2 Pro branded graphics &amp; banners</t>
        </is>
      </c>
      <c r="F30" s="4" t="n"/>
      <c r="G30" s="4" t="n"/>
    </row>
    <row r="31" ht="19" customHeight="1">
      <c r="A31" s="67" t="inlineStr">
        <is>
          <t>Media Studio — AI Videos Generated (35 videos/mo)</t>
        </is>
      </c>
      <c r="B31" s="34" t="n">
        <v>35</v>
      </c>
      <c r="C31" s="48">
        <f>'Feature Cost Matrix (COGS)'!D12</f>
        <v/>
      </c>
      <c r="D31" s="21">
        <f>B31*C31</f>
        <v/>
      </c>
      <c r="E31" s="68" t="inlineStr">
        <is>
          <t>Wan 2.6 / Runway motion clips for social &amp; reels</t>
        </is>
      </c>
      <c r="F31" s="4" t="n"/>
      <c r="G31" s="4" t="n"/>
    </row>
    <row r="32" ht="19" customHeight="1">
      <c r="A32" s="69" t="inlineStr">
        <is>
          <t>AEO / GEO Radar Audits (60 prompt scans/mo)</t>
        </is>
      </c>
      <c r="B32" s="30" t="n">
        <v>60</v>
      </c>
      <c r="C32" s="44">
        <f>'Feature Cost Matrix (COGS)'!D25</f>
        <v/>
      </c>
      <c r="D32" s="18">
        <f>B32*C32</f>
        <v/>
      </c>
      <c r="E32" s="70" t="inlineStr">
        <is>
          <t>Weekly brand visibility checks on all AI engines</t>
        </is>
      </c>
      <c r="F32" s="4" t="n"/>
      <c r="G32" s="4" t="n"/>
    </row>
    <row r="33" ht="19" customHeight="1">
      <c r="A33" s="67" t="inlineStr">
        <is>
          <t>Technical Site Crawls (12 audits across projects)</t>
        </is>
      </c>
      <c r="B33" s="34" t="n">
        <v>12</v>
      </c>
      <c r="C33" s="48">
        <f>'Feature Cost Matrix (COGS)'!D28</f>
        <v/>
      </c>
      <c r="D33" s="21">
        <f>B33*C33</f>
        <v/>
      </c>
      <c r="E33" s="68" t="inlineStr">
        <is>
          <t>Deep crawling for 10 connected client domains</t>
        </is>
      </c>
      <c r="F33" s="4" t="n"/>
      <c r="G33" s="4" t="n"/>
    </row>
    <row r="34" ht="19" customHeight="1">
      <c r="A34" s="69" t="inlineStr">
        <is>
          <t>SERP Keyword Tracking (1,000 keywords)</t>
        </is>
      </c>
      <c r="B34" s="30" t="n">
        <v>10</v>
      </c>
      <c r="C34" s="44">
        <f>'Feature Cost Matrix (COGS)'!D29</f>
        <v/>
      </c>
      <c r="D34" s="18">
        <f>B34*C34</f>
        <v/>
      </c>
      <c r="E34" s="70" t="inlineStr">
        <is>
          <t>1,000 daily tracked keywords on Google mobile/desktop</t>
        </is>
      </c>
      <c r="F34" s="4" t="n"/>
      <c r="G34" s="4" t="n"/>
    </row>
    <row r="36" ht="22" customHeight="1">
      <c r="A36" s="66" t="inlineStr">
        <is>
          <t>4. CUSTOM / ENTERPRISE PLAN ($1,299 / MO) — HIGH VOLUME BREAKDOWN</t>
        </is>
      </c>
      <c r="B36" s="4" t="n"/>
      <c r="C36" s="4" t="n"/>
      <c r="D36" s="4" t="n"/>
      <c r="E36" s="4" t="n"/>
      <c r="F36" s="4" t="n"/>
      <c r="G36" s="4" t="n"/>
    </row>
    <row r="37" ht="19" customHeight="1">
      <c r="A37" s="67" t="inlineStr">
        <is>
          <t>AI Long-Form Blog Articles (350 articles/mo)</t>
        </is>
      </c>
      <c r="B37" s="34" t="n">
        <v>350</v>
      </c>
      <c r="C37" s="48">
        <f>'Feature Cost Matrix (COGS)'!D18</f>
        <v/>
      </c>
      <c r="D37" s="21">
        <f>B37*C37</f>
        <v/>
      </c>
      <c r="E37" s="68" t="inlineStr">
        <is>
          <t>Enterprise scale editorial production</t>
        </is>
      </c>
      <c r="F37" s="4" t="n"/>
      <c r="G37" s="4" t="n"/>
    </row>
    <row r="38" ht="19" customHeight="1">
      <c r="A38" s="69" t="inlineStr">
        <is>
          <t>Media Studio — AI Images Generated (250 images/mo)</t>
        </is>
      </c>
      <c r="B38" s="30" t="n">
        <v>250</v>
      </c>
      <c r="C38" s="44">
        <f>'Feature Cost Matrix (COGS)'!D6</f>
        <v/>
      </c>
      <c r="D38" s="18">
        <f>B38*C38</f>
        <v/>
      </c>
      <c r="E38" s="70" t="inlineStr">
        <is>
          <t>Full-scale visual asset production</t>
        </is>
      </c>
      <c r="F38" s="4" t="n"/>
      <c r="G38" s="4" t="n"/>
    </row>
    <row r="39" ht="19" customHeight="1">
      <c r="A39" s="67" t="inlineStr">
        <is>
          <t>Media Studio — AI Videos Generated (80 videos/mo)</t>
        </is>
      </c>
      <c r="B39" s="34" t="n">
        <v>80</v>
      </c>
      <c r="C39" s="48">
        <f>'Feature Cost Matrix (COGS)'!D12</f>
        <v/>
      </c>
      <c r="D39" s="21">
        <f>B39*C39</f>
        <v/>
      </c>
      <c r="E39" s="68" t="inlineStr">
        <is>
          <t>Daily AI video campaigns for social platforms</t>
        </is>
      </c>
      <c r="F39" s="4" t="n"/>
      <c r="G39" s="4" t="n"/>
    </row>
    <row r="40" ht="19" customHeight="1">
      <c r="A40" s="69" t="inlineStr">
        <is>
          <t>AEO / GEO Radar Audits (150 prompt scans/mo)</t>
        </is>
      </c>
      <c r="B40" s="30" t="n">
        <v>150</v>
      </c>
      <c r="C40" s="44">
        <f>'Feature Cost Matrix (COGS)'!D25</f>
        <v/>
      </c>
      <c r="D40" s="18">
        <f>B40*C40</f>
        <v/>
      </c>
      <c r="E40" s="70" t="inlineStr">
        <is>
          <t>Continuous automated prompt testing &amp; alerts</t>
        </is>
      </c>
      <c r="F40" s="4" t="n"/>
      <c r="G40" s="4" t="n"/>
    </row>
    <row r="41" ht="19" customHeight="1">
      <c r="A41" s="67" t="inlineStr">
        <is>
          <t>Technical Site Crawls (30 deep site audits)</t>
        </is>
      </c>
      <c r="B41" s="34" t="n">
        <v>30</v>
      </c>
      <c r="C41" s="48">
        <f>'Feature Cost Matrix (COGS)'!D28</f>
        <v/>
      </c>
      <c r="D41" s="21">
        <f>B41*C41</f>
        <v/>
      </c>
      <c r="E41" s="68" t="inlineStr">
        <is>
          <t>Unlimited site crawls + self-healing fixes</t>
        </is>
      </c>
      <c r="F41" s="4" t="n"/>
      <c r="G41" s="4" t="n"/>
    </row>
    <row r="42" ht="19" customHeight="1">
      <c r="A42" s="69" t="inlineStr">
        <is>
          <t>SERP Keyword Tracking (2,500 keywords)</t>
        </is>
      </c>
      <c r="B42" s="30" t="n">
        <v>25</v>
      </c>
      <c r="C42" s="44">
        <f>'Feature Cost Matrix (COGS)'!D29</f>
        <v/>
      </c>
      <c r="D42" s="18">
        <f>B42*C42</f>
        <v/>
      </c>
      <c r="E42" s="70" t="inlineStr">
        <is>
          <t>2,500 daily tracked search positions</t>
        </is>
      </c>
      <c r="F42" s="4" t="n"/>
      <c r="G42" s="4" t="n"/>
    </row>
  </sheetData>
  <mergeCells count="29">
    <mergeCell ref="A14:G14"/>
    <mergeCell ref="E31:G31"/>
    <mergeCell ref="A20:G20"/>
    <mergeCell ref="E34:G34"/>
    <mergeCell ref="E40:G40"/>
    <mergeCell ref="E30:G30"/>
    <mergeCell ref="E15:G15"/>
    <mergeCell ref="A28:G28"/>
    <mergeCell ref="E26:G26"/>
    <mergeCell ref="E25:G25"/>
    <mergeCell ref="E16:G16"/>
    <mergeCell ref="A12:B12"/>
    <mergeCell ref="E32:G32"/>
    <mergeCell ref="A36:G36"/>
    <mergeCell ref="A1:G1"/>
    <mergeCell ref="E22:G22"/>
    <mergeCell ref="E41:G41"/>
    <mergeCell ref="E37:G37"/>
    <mergeCell ref="E18:G18"/>
    <mergeCell ref="E21:G21"/>
    <mergeCell ref="E24:G24"/>
    <mergeCell ref="E42:G42"/>
    <mergeCell ref="E33:G33"/>
    <mergeCell ref="E23:G23"/>
    <mergeCell ref="E39:G39"/>
    <mergeCell ref="E17:G17"/>
    <mergeCell ref="A2:G2"/>
    <mergeCell ref="E29:G29"/>
    <mergeCell ref="E38:G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8" customWidth="1" min="3" max="3"/>
    <col width="18" customWidth="1" min="4" max="4"/>
    <col width="18" customWidth="1" min="5" max="5"/>
    <col width="58" customWidth="1" min="6" max="6"/>
  </cols>
  <sheetData>
    <row r="1" ht="36" customHeight="1">
      <c r="A1" s="1" t="inlineStr">
        <is>
          <t>MONTHLY FIXED OPERATIONAL EXPENSES (OPEX) BREAKDOWN</t>
        </is>
      </c>
    </row>
    <row r="2" ht="20" customHeight="1">
      <c r="A2" s="2" t="inlineStr">
        <is>
          <t>Server Infrastructure, Databases, Dev Tools, Domains, SaaS Subscriptions, and Core Overhead</t>
        </is>
      </c>
    </row>
    <row r="4" ht="24" customHeight="1">
      <c r="A4" s="9" t="inlineStr">
        <is>
          <t>Expense Category</t>
        </is>
      </c>
      <c r="B4" s="9" t="inlineStr">
        <is>
          <t>Vendor / Tool</t>
        </is>
      </c>
      <c r="C4" s="9" t="inlineStr">
        <is>
          <t>Purpose / Tier</t>
        </is>
      </c>
      <c r="D4" s="10" t="inlineStr">
        <is>
          <t>Monthly Cost ($)</t>
        </is>
      </c>
      <c r="E4" s="10" t="inlineStr">
        <is>
          <t>Monthly Cost (INR ₹)</t>
        </is>
      </c>
      <c r="F4" s="9" t="inlineStr">
        <is>
          <t>Cost Optimization / Scaling Notes</t>
        </is>
      </c>
    </row>
    <row r="5" ht="20" customHeight="1">
      <c r="A5" s="20" t="inlineStr">
        <is>
          <t>Cloud Infrastructure</t>
        </is>
      </c>
      <c r="B5" s="14" t="inlineStr">
        <is>
          <t>Supabase Pro Plan</t>
        </is>
      </c>
      <c r="C5" s="14" t="inlineStr">
        <is>
          <t>PostgreSQL database, Auth, Storage bucket, Realtime</t>
        </is>
      </c>
      <c r="D5" s="21" t="n">
        <v>25</v>
      </c>
      <c r="E5" s="49">
        <f>D5*88</f>
        <v/>
      </c>
      <c r="F5" s="71" t="inlineStr">
        <is>
          <t>Base $25/mo covers 100k auth users and 8GB database</t>
        </is>
      </c>
    </row>
    <row r="6" ht="20" customHeight="1">
      <c r="A6" s="17" t="inlineStr">
        <is>
          <t>Cloud Infrastructure</t>
        </is>
      </c>
      <c r="B6" s="11" t="inlineStr">
        <is>
          <t>Vercel Pro Team</t>
        </is>
      </c>
      <c r="C6" s="11" t="inlineStr">
        <is>
          <t>Next.js App hosting, edge functions, serverless compute</t>
        </is>
      </c>
      <c r="D6" s="18" t="n">
        <v>20</v>
      </c>
      <c r="E6" s="45">
        <f>D6*88</f>
        <v/>
      </c>
      <c r="F6" s="72" t="inlineStr">
        <is>
          <t>Base team seat; handles up to 1M monthly requests</t>
        </is>
      </c>
    </row>
    <row r="7" ht="20" customHeight="1">
      <c r="A7" s="20" t="inlineStr">
        <is>
          <t>Cloud Infrastructure</t>
        </is>
      </c>
      <c r="B7" s="14" t="inlineStr">
        <is>
          <t>Cloudflare Pro &amp; R2</t>
        </is>
      </c>
      <c r="C7" s="14" t="inlineStr">
        <is>
          <t>DNS, DDoS protection, edge caching, image &amp; video storage</t>
        </is>
      </c>
      <c r="D7" s="21" t="n">
        <v>25</v>
      </c>
      <c r="E7" s="49">
        <f>D7*88</f>
        <v/>
      </c>
      <c r="F7" s="71" t="inlineStr">
        <is>
          <t>Zero egress fees on R2 object storage saving massive video bandwidth</t>
        </is>
      </c>
    </row>
    <row r="8" ht="20" customHeight="1">
      <c r="A8" s="17" t="inlineStr">
        <is>
          <t>Cloud Infrastructure</t>
        </is>
      </c>
      <c r="B8" s="11" t="inlineStr">
        <is>
          <t>Upstash Redis / BullMQ</t>
        </is>
      </c>
      <c r="C8" s="11" t="inlineStr">
        <is>
          <t>Background async queues for blog, video, and crawl jobs</t>
        </is>
      </c>
      <c r="D8" s="18" t="n">
        <v>15</v>
      </c>
      <c r="E8" s="45">
        <f>D8*88</f>
        <v/>
      </c>
      <c r="F8" s="72" t="inlineStr">
        <is>
          <t>Serverless Redis queue; pay-per-request scaling</t>
        </is>
      </c>
    </row>
    <row r="9" ht="20" customHeight="1">
      <c r="A9" s="20" t="inlineStr">
        <is>
          <t>Cloud Infrastructure</t>
        </is>
      </c>
      <c r="B9" s="14" t="inlineStr">
        <is>
          <t>Resend / SendGrid</t>
        </is>
      </c>
      <c r="C9" s="14" t="inlineStr">
        <is>
          <t>Transactional emails, invite links, outreach pitches</t>
        </is>
      </c>
      <c r="D9" s="21" t="n">
        <v>20</v>
      </c>
      <c r="E9" s="49">
        <f>D9*88</f>
        <v/>
      </c>
      <c r="F9" s="71" t="inlineStr">
        <is>
          <t>Covers up to 50,000 monthly transactional emails</t>
        </is>
      </c>
    </row>
    <row r="10" ht="20" customHeight="1">
      <c r="A10" s="17" t="inlineStr">
        <is>
          <t>Developer Tools</t>
        </is>
      </c>
      <c r="B10" s="11" t="inlineStr">
        <is>
          <t>GitHub Team</t>
        </is>
      </c>
      <c r="C10" s="11" t="inlineStr">
        <is>
          <t>Source control, GitHub Actions CI/CD automated build pipelines</t>
        </is>
      </c>
      <c r="D10" s="18" t="n">
        <v>8</v>
      </c>
      <c r="E10" s="45">
        <f>D10*88</f>
        <v/>
      </c>
      <c r="F10" s="72" t="inlineStr">
        <is>
          <t>Private repository hosting &amp; automated tests</t>
        </is>
      </c>
    </row>
    <row r="11" ht="20" customHeight="1">
      <c r="A11" s="20" t="inlineStr">
        <is>
          <t>Developer Tools</t>
        </is>
      </c>
      <c r="B11" s="14" t="inlineStr">
        <is>
          <t>Sentry / Error Tracking</t>
        </is>
      </c>
      <c r="C11" s="14" t="inlineStr">
        <is>
          <t>Application performance monitoring, crash diagnostics</t>
        </is>
      </c>
      <c r="D11" s="21" t="n">
        <v>29</v>
      </c>
      <c r="E11" s="49">
        <f>D11*88</f>
        <v/>
      </c>
      <c r="F11" s="71" t="inlineStr">
        <is>
          <t>Real-time production alerts on API failures or LLM errors</t>
        </is>
      </c>
    </row>
    <row r="12" ht="20" customHeight="1">
      <c r="A12" s="17" t="inlineStr">
        <is>
          <t>Security &amp; Domains</t>
        </is>
      </c>
      <c r="B12" s="11" t="inlineStr">
        <is>
          <t>Namecheap / Cloudflare</t>
        </is>
      </c>
      <c r="C12" s="11" t="inlineStr">
        <is>
          <t>Custom domains (solospider.ai, rankmonk.com), SSL certs</t>
        </is>
      </c>
      <c r="D12" s="18" t="n">
        <v>5</v>
      </c>
      <c r="E12" s="45">
        <f>D12*88</f>
        <v/>
      </c>
      <c r="F12" s="72" t="inlineStr">
        <is>
          <t>Annual domains amortized to monthly basis</t>
        </is>
      </c>
    </row>
    <row r="13" ht="20" customHeight="1">
      <c r="A13" s="20" t="inlineStr">
        <is>
          <t>Customer Support</t>
        </is>
      </c>
      <c r="B13" s="14" t="inlineStr">
        <is>
          <t>Crisp / Intercom Chat</t>
        </is>
      </c>
      <c r="C13" s="14" t="inlineStr">
        <is>
          <t>In-app live customer support widget and ticketing</t>
        </is>
      </c>
      <c r="D13" s="21" t="n">
        <v>25</v>
      </c>
      <c r="E13" s="49">
        <f>D13*88</f>
        <v/>
      </c>
      <c r="F13" s="71" t="inlineStr">
        <is>
          <t>Direct messaging for user onboarding and troubleshooting</t>
        </is>
      </c>
    </row>
    <row r="14" ht="20" customHeight="1">
      <c r="A14" s="17" t="inlineStr">
        <is>
          <t>Payment Gateway &amp; Compliance</t>
        </is>
      </c>
      <c r="B14" s="11" t="inlineStr">
        <is>
          <t>Razorpay / Stripe</t>
        </is>
      </c>
      <c r="C14" s="11" t="inlineStr">
        <is>
          <t>Merchant account compliance, invoicing, tax compliance</t>
        </is>
      </c>
      <c r="D14" s="18" t="n">
        <v>10</v>
      </c>
      <c r="E14" s="45">
        <f>D14*88</f>
        <v/>
      </c>
      <c r="F14" s="72" t="inlineStr">
        <is>
          <t>Fixed monthly compliance &amp; recurring billing tools</t>
        </is>
      </c>
    </row>
    <row r="15" ht="20" customHeight="1">
      <c r="A15" s="20" t="inlineStr">
        <is>
          <t>Marketing Reserve</t>
        </is>
      </c>
      <c r="B15" s="14" t="inlineStr">
        <is>
          <t>Organic SEO &amp; Social Ads</t>
        </is>
      </c>
      <c r="C15" s="14" t="inlineStr">
        <is>
          <t>CAC testing, directory listings, organic community growth</t>
        </is>
      </c>
      <c r="D15" s="21" t="n">
        <v>250</v>
      </c>
      <c r="E15" s="49">
        <f>D15*88</f>
        <v/>
      </c>
      <c r="F15" s="71" t="inlineStr">
        <is>
          <t>Bootstrap initial customer acquisition budget</t>
        </is>
      </c>
    </row>
    <row r="16" ht="20" customHeight="1">
      <c r="A16" s="17" t="inlineStr">
        <is>
          <t>Contingency &amp; Reserve</t>
        </is>
      </c>
      <c r="B16" s="11" t="inlineStr">
        <is>
          <t>Buffer / Float</t>
        </is>
      </c>
      <c r="C16" s="11" t="inlineStr">
        <is>
          <t>Unforeseen API spikes, surge token usage, cloud burst</t>
        </is>
      </c>
      <c r="D16" s="18" t="n">
        <v>100</v>
      </c>
      <c r="E16" s="45">
        <f>D16*88</f>
        <v/>
      </c>
      <c r="F16" s="72" t="inlineStr">
        <is>
          <t>Safety cushion against variable consumption spikes</t>
        </is>
      </c>
    </row>
    <row r="17" ht="24" customHeight="1">
      <c r="A17" s="60" t="inlineStr">
        <is>
          <t>TOTAL MONTHLY FIXED OPEX (OVERHEAD)</t>
        </is>
      </c>
      <c r="B17" s="61" t="n"/>
      <c r="C17" s="61" t="n"/>
      <c r="D17" s="62">
        <f>SUM(D5:D16)</f>
        <v/>
      </c>
      <c r="E17" s="73">
        <f>D17*88</f>
        <v/>
      </c>
      <c r="F17" s="60" t="inlineStr">
        <is>
          <t>Essential foundation for sustaining high-uptime production platform</t>
        </is>
      </c>
    </row>
  </sheetData>
  <mergeCells count="3">
    <mergeCell ref="A17:C17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18" customWidth="1" min="10" max="10"/>
    <col width="18" customWidth="1" min="11" max="11"/>
  </cols>
  <sheetData>
    <row r="1" ht="36" customHeight="1">
      <c r="A1" s="1" t="inlineStr">
        <is>
          <t>12-MONTH PRO-FORMA FINANCIAL FORECAST &amp; CASH FLOW PROJECTION</t>
        </is>
      </c>
    </row>
    <row r="2" ht="20" customHeight="1">
      <c r="A2" s="2" t="inlineStr">
        <is>
          <t>Month-by-month subscriber growth, gross revenue, direct API COGS, fixed overhead, and net cash flow</t>
        </is>
      </c>
    </row>
    <row r="4" ht="24" customHeight="1">
      <c r="A4" s="9" t="inlineStr">
        <is>
          <t>Month</t>
        </is>
      </c>
      <c r="B4" s="10" t="inlineStr">
        <is>
          <t>Growth Users (50%)</t>
        </is>
      </c>
      <c r="C4" s="10" t="inlineStr">
        <is>
          <t>Scale Users (25%)</t>
        </is>
      </c>
      <c r="D4" s="10" t="inlineStr">
        <is>
          <t>Enterprise (5%)</t>
        </is>
      </c>
      <c r="E4" s="10" t="inlineStr">
        <is>
          <t>Total MRR ($)</t>
        </is>
      </c>
      <c r="F4" s="10" t="inlineStr">
        <is>
          <t>Variable COGS ($)</t>
        </is>
      </c>
      <c r="G4" s="10" t="inlineStr">
        <is>
          <t>Gross Margin (%)</t>
        </is>
      </c>
      <c r="H4" s="10" t="inlineStr">
        <is>
          <t>Fixed OpEx ($)</t>
        </is>
      </c>
      <c r="I4" s="10" t="inlineStr">
        <is>
          <t>Payment Gateway Fees</t>
        </is>
      </c>
      <c r="J4" s="10" t="inlineStr">
        <is>
          <t>Net Profit ($)</t>
        </is>
      </c>
      <c r="K4" s="10" t="inlineStr">
        <is>
          <t>Net Margin (%)</t>
        </is>
      </c>
    </row>
    <row r="5" ht="20" customHeight="1">
      <c r="A5" s="20" t="inlineStr">
        <is>
          <t>Month 1</t>
        </is>
      </c>
      <c r="B5" s="34" t="n">
        <v>10</v>
      </c>
      <c r="C5" s="34" t="n">
        <v>3</v>
      </c>
      <c r="D5" s="34" t="n">
        <v>0</v>
      </c>
      <c r="E5" s="21">
        <f>B5*'Unit Economics &amp; Tiers'!C7 + C5*'Unit Economics &amp; Tiers'!C8 + D5*'Unit Economics &amp; Tiers'!C9</f>
        <v/>
      </c>
      <c r="F5" s="19">
        <f>B5*'Unit Economics &amp; Tiers'!D7 + C5*'Unit Economics &amp; Tiers'!D8 + D5*'Unit Economics &amp; Tiers'!D9</f>
        <v/>
      </c>
      <c r="G5" s="58">
        <f>(E5-F5)/E5</f>
        <v/>
      </c>
      <c r="H5" s="19">
        <f>'Fixed OpEx'!D17 * IF(5&gt;10, 1.3, IF(5&gt;7, 1.15, 1.0))</f>
        <v/>
      </c>
      <c r="I5" s="19">
        <f>E5*0.02 + (B5+C5+D5)*0.3</f>
        <v/>
      </c>
      <c r="J5" s="57">
        <f>E5-F5-H5-I5</f>
        <v/>
      </c>
      <c r="K5" s="59">
        <f>J5/E5</f>
        <v/>
      </c>
    </row>
    <row r="6" ht="20" customHeight="1">
      <c r="A6" s="17" t="inlineStr">
        <is>
          <t>Month 2</t>
        </is>
      </c>
      <c r="B6" s="30" t="n">
        <v>18</v>
      </c>
      <c r="C6" s="30" t="n">
        <v>6</v>
      </c>
      <c r="D6" s="30" t="n">
        <v>1</v>
      </c>
      <c r="E6" s="18">
        <f>B6*'Unit Economics &amp; Tiers'!C7 + C6*'Unit Economics &amp; Tiers'!C8 + D6*'Unit Economics &amp; Tiers'!C9</f>
        <v/>
      </c>
      <c r="F6" s="12">
        <f>B6*'Unit Economics &amp; Tiers'!D7 + C6*'Unit Economics &amp; Tiers'!D8 + D6*'Unit Economics &amp; Tiers'!D9</f>
        <v/>
      </c>
      <c r="G6" s="55">
        <f>(E6-F6)/E6</f>
        <v/>
      </c>
      <c r="H6" s="12">
        <f>'Fixed OpEx'!D17 * IF(6&gt;10, 1.3, IF(6&gt;7, 1.15, 1.0))</f>
        <v/>
      </c>
      <c r="I6" s="12">
        <f>E6*0.02 + (B6+C6+D6)*0.3</f>
        <v/>
      </c>
      <c r="J6" s="54">
        <f>E6-F6-H6-I6</f>
        <v/>
      </c>
      <c r="K6" s="56">
        <f>J6/E6</f>
        <v/>
      </c>
    </row>
    <row r="7" ht="20" customHeight="1">
      <c r="A7" s="20" t="inlineStr">
        <is>
          <t>Month 3</t>
        </is>
      </c>
      <c r="B7" s="34" t="n">
        <v>30</v>
      </c>
      <c r="C7" s="34" t="n">
        <v>10</v>
      </c>
      <c r="D7" s="34" t="n">
        <v>1</v>
      </c>
      <c r="E7" s="21">
        <f>B7*'Unit Economics &amp; Tiers'!C7 + C7*'Unit Economics &amp; Tiers'!C8 + D7*'Unit Economics &amp; Tiers'!C9</f>
        <v/>
      </c>
      <c r="F7" s="19">
        <f>B7*'Unit Economics &amp; Tiers'!D7 + C7*'Unit Economics &amp; Tiers'!D8 + D7*'Unit Economics &amp; Tiers'!D9</f>
        <v/>
      </c>
      <c r="G7" s="58">
        <f>(E7-F7)/E7</f>
        <v/>
      </c>
      <c r="H7" s="19">
        <f>'Fixed OpEx'!D17 * IF(7&gt;10, 1.3, IF(7&gt;7, 1.15, 1.0))</f>
        <v/>
      </c>
      <c r="I7" s="19">
        <f>E7*0.02 + (B7+C7+D7)*0.3</f>
        <v/>
      </c>
      <c r="J7" s="57">
        <f>E7-F7-H7-I7</f>
        <v/>
      </c>
      <c r="K7" s="59">
        <f>J7/E7</f>
        <v/>
      </c>
    </row>
    <row r="8" ht="20" customHeight="1">
      <c r="A8" s="17" t="inlineStr">
        <is>
          <t>Month 4</t>
        </is>
      </c>
      <c r="B8" s="30" t="n">
        <v>45</v>
      </c>
      <c r="C8" s="30" t="n">
        <v>16</v>
      </c>
      <c r="D8" s="30" t="n">
        <v>2</v>
      </c>
      <c r="E8" s="18">
        <f>B8*'Unit Economics &amp; Tiers'!C7 + C8*'Unit Economics &amp; Tiers'!C8 + D8*'Unit Economics &amp; Tiers'!C9</f>
        <v/>
      </c>
      <c r="F8" s="12">
        <f>B8*'Unit Economics &amp; Tiers'!D7 + C8*'Unit Economics &amp; Tiers'!D8 + D8*'Unit Economics &amp; Tiers'!D9</f>
        <v/>
      </c>
      <c r="G8" s="55">
        <f>(E8-F8)/E8</f>
        <v/>
      </c>
      <c r="H8" s="12">
        <f>'Fixed OpEx'!D17 * IF(8&gt;10, 1.3, IF(8&gt;7, 1.15, 1.0))</f>
        <v/>
      </c>
      <c r="I8" s="12">
        <f>E8*0.02 + (B8+C8+D8)*0.3</f>
        <v/>
      </c>
      <c r="J8" s="54">
        <f>E8-F8-H8-I8</f>
        <v/>
      </c>
      <c r="K8" s="56">
        <f>J8/E8</f>
        <v/>
      </c>
    </row>
    <row r="9" ht="20" customHeight="1">
      <c r="A9" s="20" t="inlineStr">
        <is>
          <t>Month 5</t>
        </is>
      </c>
      <c r="B9" s="34" t="n">
        <v>65</v>
      </c>
      <c r="C9" s="34" t="n">
        <v>24</v>
      </c>
      <c r="D9" s="34" t="n">
        <v>3</v>
      </c>
      <c r="E9" s="21">
        <f>B9*'Unit Economics &amp; Tiers'!C7 + C9*'Unit Economics &amp; Tiers'!C8 + D9*'Unit Economics &amp; Tiers'!C9</f>
        <v/>
      </c>
      <c r="F9" s="19">
        <f>B9*'Unit Economics &amp; Tiers'!D7 + C9*'Unit Economics &amp; Tiers'!D8 + D9*'Unit Economics &amp; Tiers'!D9</f>
        <v/>
      </c>
      <c r="G9" s="58">
        <f>(E9-F9)/E9</f>
        <v/>
      </c>
      <c r="H9" s="19">
        <f>'Fixed OpEx'!D17 * IF(9&gt;10, 1.3, IF(9&gt;7, 1.15, 1.0))</f>
        <v/>
      </c>
      <c r="I9" s="19">
        <f>E9*0.02 + (B9+C9+D9)*0.3</f>
        <v/>
      </c>
      <c r="J9" s="57">
        <f>E9-F9-H9-I9</f>
        <v/>
      </c>
      <c r="K9" s="59">
        <f>J9/E9</f>
        <v/>
      </c>
    </row>
    <row r="10" ht="20" customHeight="1">
      <c r="A10" s="17" t="inlineStr">
        <is>
          <t>Month 6</t>
        </is>
      </c>
      <c r="B10" s="30" t="n">
        <v>90</v>
      </c>
      <c r="C10" s="30" t="n">
        <v>35</v>
      </c>
      <c r="D10" s="30" t="n">
        <v>4</v>
      </c>
      <c r="E10" s="18">
        <f>B10*'Unit Economics &amp; Tiers'!C7 + C10*'Unit Economics &amp; Tiers'!C8 + D10*'Unit Economics &amp; Tiers'!C9</f>
        <v/>
      </c>
      <c r="F10" s="12">
        <f>B10*'Unit Economics &amp; Tiers'!D7 + C10*'Unit Economics &amp; Tiers'!D8 + D10*'Unit Economics &amp; Tiers'!D9</f>
        <v/>
      </c>
      <c r="G10" s="55">
        <f>(E10-F10)/E10</f>
        <v/>
      </c>
      <c r="H10" s="12">
        <f>'Fixed OpEx'!D17 * IF(10&gt;10, 1.3, IF(10&gt;7, 1.15, 1.0))</f>
        <v/>
      </c>
      <c r="I10" s="12">
        <f>E10*0.02 + (B10+C10+D10)*0.3</f>
        <v/>
      </c>
      <c r="J10" s="54">
        <f>E10-F10-H10-I10</f>
        <v/>
      </c>
      <c r="K10" s="56">
        <f>J10/E10</f>
        <v/>
      </c>
    </row>
    <row r="11" ht="20" customHeight="1">
      <c r="A11" s="20" t="inlineStr">
        <is>
          <t>Month 7</t>
        </is>
      </c>
      <c r="B11" s="34" t="n">
        <v>125</v>
      </c>
      <c r="C11" s="34" t="n">
        <v>50</v>
      </c>
      <c r="D11" s="34" t="n">
        <v>6</v>
      </c>
      <c r="E11" s="21">
        <f>B11*'Unit Economics &amp; Tiers'!C7 + C11*'Unit Economics &amp; Tiers'!C8 + D11*'Unit Economics &amp; Tiers'!C9</f>
        <v/>
      </c>
      <c r="F11" s="19">
        <f>B11*'Unit Economics &amp; Tiers'!D7 + C11*'Unit Economics &amp; Tiers'!D8 + D11*'Unit Economics &amp; Tiers'!D9</f>
        <v/>
      </c>
      <c r="G11" s="58">
        <f>(E11-F11)/E11</f>
        <v/>
      </c>
      <c r="H11" s="19">
        <f>'Fixed OpEx'!D17 * IF(11&gt;10, 1.3, IF(11&gt;7, 1.15, 1.0))</f>
        <v/>
      </c>
      <c r="I11" s="19">
        <f>E11*0.02 + (B11+C11+D11)*0.3</f>
        <v/>
      </c>
      <c r="J11" s="57">
        <f>E11-F11-H11-I11</f>
        <v/>
      </c>
      <c r="K11" s="59">
        <f>J11/E11</f>
        <v/>
      </c>
    </row>
    <row r="12" ht="20" customHeight="1">
      <c r="A12" s="17" t="inlineStr">
        <is>
          <t>Month 8</t>
        </is>
      </c>
      <c r="B12" s="30" t="n">
        <v>170</v>
      </c>
      <c r="C12" s="30" t="n">
        <v>70</v>
      </c>
      <c r="D12" s="30" t="n">
        <v>8</v>
      </c>
      <c r="E12" s="18">
        <f>B12*'Unit Economics &amp; Tiers'!C7 + C12*'Unit Economics &amp; Tiers'!C8 + D12*'Unit Economics &amp; Tiers'!C9</f>
        <v/>
      </c>
      <c r="F12" s="12">
        <f>B12*'Unit Economics &amp; Tiers'!D7 + C12*'Unit Economics &amp; Tiers'!D8 + D12*'Unit Economics &amp; Tiers'!D9</f>
        <v/>
      </c>
      <c r="G12" s="55">
        <f>(E12-F12)/E12</f>
        <v/>
      </c>
      <c r="H12" s="12">
        <f>'Fixed OpEx'!D17 * IF(12&gt;10, 1.3, IF(12&gt;7, 1.15, 1.0))</f>
        <v/>
      </c>
      <c r="I12" s="12">
        <f>E12*0.02 + (B12+C12+D12)*0.3</f>
        <v/>
      </c>
      <c r="J12" s="54">
        <f>E12-F12-H12-I12</f>
        <v/>
      </c>
      <c r="K12" s="56">
        <f>J12/E12</f>
        <v/>
      </c>
    </row>
    <row r="13" ht="20" customHeight="1">
      <c r="A13" s="20" t="inlineStr">
        <is>
          <t>Month 9</t>
        </is>
      </c>
      <c r="B13" s="34" t="n">
        <v>225</v>
      </c>
      <c r="C13" s="34" t="n">
        <v>95</v>
      </c>
      <c r="D13" s="34" t="n">
        <v>11</v>
      </c>
      <c r="E13" s="21">
        <f>B13*'Unit Economics &amp; Tiers'!C7 + C13*'Unit Economics &amp; Tiers'!C8 + D13*'Unit Economics &amp; Tiers'!C9</f>
        <v/>
      </c>
      <c r="F13" s="19">
        <f>B13*'Unit Economics &amp; Tiers'!D7 + C13*'Unit Economics &amp; Tiers'!D8 + D13*'Unit Economics &amp; Tiers'!D9</f>
        <v/>
      </c>
      <c r="G13" s="58">
        <f>(E13-F13)/E13</f>
        <v/>
      </c>
      <c r="H13" s="19">
        <f>'Fixed OpEx'!D17 * IF(13&gt;10, 1.3, IF(13&gt;7, 1.15, 1.0))</f>
        <v/>
      </c>
      <c r="I13" s="19">
        <f>E13*0.02 + (B13+C13+D13)*0.3</f>
        <v/>
      </c>
      <c r="J13" s="57">
        <f>E13-F13-H13-I13</f>
        <v/>
      </c>
      <c r="K13" s="59">
        <f>J13/E13</f>
        <v/>
      </c>
    </row>
    <row r="14" ht="20" customHeight="1">
      <c r="A14" s="17" t="inlineStr">
        <is>
          <t>Month 10</t>
        </is>
      </c>
      <c r="B14" s="30" t="n">
        <v>290</v>
      </c>
      <c r="C14" s="30" t="n">
        <v>125</v>
      </c>
      <c r="D14" s="30" t="n">
        <v>15</v>
      </c>
      <c r="E14" s="18">
        <f>B14*'Unit Economics &amp; Tiers'!C7 + C14*'Unit Economics &amp; Tiers'!C8 + D14*'Unit Economics &amp; Tiers'!C9</f>
        <v/>
      </c>
      <c r="F14" s="12">
        <f>B14*'Unit Economics &amp; Tiers'!D7 + C14*'Unit Economics &amp; Tiers'!D8 + D14*'Unit Economics &amp; Tiers'!D9</f>
        <v/>
      </c>
      <c r="G14" s="55">
        <f>(E14-F14)/E14</f>
        <v/>
      </c>
      <c r="H14" s="12">
        <f>'Fixed OpEx'!D17 * IF(14&gt;10, 1.3, IF(14&gt;7, 1.15, 1.0))</f>
        <v/>
      </c>
      <c r="I14" s="12">
        <f>E14*0.02 + (B14+C14+D14)*0.3</f>
        <v/>
      </c>
      <c r="J14" s="54">
        <f>E14-F14-H14-I14</f>
        <v/>
      </c>
      <c r="K14" s="56">
        <f>J14/E14</f>
        <v/>
      </c>
    </row>
    <row r="15" ht="20" customHeight="1">
      <c r="A15" s="20" t="inlineStr">
        <is>
          <t>Month 11</t>
        </is>
      </c>
      <c r="B15" s="34" t="n">
        <v>370</v>
      </c>
      <c r="C15" s="34" t="n">
        <v>160</v>
      </c>
      <c r="D15" s="34" t="n">
        <v>20</v>
      </c>
      <c r="E15" s="21">
        <f>B15*'Unit Economics &amp; Tiers'!C7 + C15*'Unit Economics &amp; Tiers'!C8 + D15*'Unit Economics &amp; Tiers'!C9</f>
        <v/>
      </c>
      <c r="F15" s="19">
        <f>B15*'Unit Economics &amp; Tiers'!D7 + C15*'Unit Economics &amp; Tiers'!D8 + D15*'Unit Economics &amp; Tiers'!D9</f>
        <v/>
      </c>
      <c r="G15" s="58">
        <f>(E15-F15)/E15</f>
        <v/>
      </c>
      <c r="H15" s="19">
        <f>'Fixed OpEx'!D17 * IF(15&gt;10, 1.3, IF(15&gt;7, 1.15, 1.0))</f>
        <v/>
      </c>
      <c r="I15" s="19">
        <f>E15*0.02 + (B15+C15+D15)*0.3</f>
        <v/>
      </c>
      <c r="J15" s="57">
        <f>E15-F15-H15-I15</f>
        <v/>
      </c>
      <c r="K15" s="59">
        <f>J15/E15</f>
        <v/>
      </c>
    </row>
    <row r="16" ht="20" customHeight="1">
      <c r="A16" s="17" t="inlineStr">
        <is>
          <t>Month 12</t>
        </is>
      </c>
      <c r="B16" s="30" t="n">
        <v>460</v>
      </c>
      <c r="C16" s="30" t="n">
        <v>200</v>
      </c>
      <c r="D16" s="30" t="n">
        <v>26</v>
      </c>
      <c r="E16" s="18">
        <f>B16*'Unit Economics &amp; Tiers'!C7 + C16*'Unit Economics &amp; Tiers'!C8 + D16*'Unit Economics &amp; Tiers'!C9</f>
        <v/>
      </c>
      <c r="F16" s="12">
        <f>B16*'Unit Economics &amp; Tiers'!D7 + C16*'Unit Economics &amp; Tiers'!D8 + D16*'Unit Economics &amp; Tiers'!D9</f>
        <v/>
      </c>
      <c r="G16" s="55">
        <f>(E16-F16)/E16</f>
        <v/>
      </c>
      <c r="H16" s="12">
        <f>'Fixed OpEx'!D17 * IF(16&gt;10, 1.3, IF(16&gt;7, 1.15, 1.0))</f>
        <v/>
      </c>
      <c r="I16" s="12">
        <f>E16*0.02 + (B16+C16+D16)*0.3</f>
        <v/>
      </c>
      <c r="J16" s="54">
        <f>E16-F16-H16-I16</f>
        <v/>
      </c>
      <c r="K16" s="56">
        <f>J16/E16</f>
        <v/>
      </c>
    </row>
    <row r="17" ht="24" customHeight="1">
      <c r="A17" s="74" t="inlineStr">
        <is>
          <t>YEAR 1 CUMULATIVE TOTALS</t>
        </is>
      </c>
      <c r="B17" s="75">
        <f>SUM(B5:B16)</f>
        <v/>
      </c>
      <c r="C17" s="75">
        <f>SUM(C5:C16)</f>
        <v/>
      </c>
      <c r="D17" s="75">
        <f>SUM(D5:D16)</f>
        <v/>
      </c>
      <c r="E17" s="62">
        <f>SUM(E5:E16)</f>
        <v/>
      </c>
      <c r="F17" s="62">
        <f>SUM(F5:F16)</f>
        <v/>
      </c>
      <c r="G17" s="64">
        <f>(E17-F17)/E17</f>
        <v/>
      </c>
      <c r="H17" s="62">
        <f>SUM(H5:H16)</f>
        <v/>
      </c>
      <c r="I17" s="62">
        <f>SUM(I5:I16)</f>
        <v/>
      </c>
      <c r="J17" s="63">
        <f>SUM(J5:J16)</f>
        <v/>
      </c>
      <c r="K17" s="65">
        <f>J17/E17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2026-10-10T08:17:53Z</dcterms:created>
  <dcterms:modified xmlns:dcterms="http://purl.org/dc/terms/" xmlns:xsi="http://www.w3.org/2001/XMLSchema-instance" xsi:type="dcterms:W3CDTF">2026-10-10T08:17:53Z</dcterms:modified>
</cp:coreProperties>
</file>